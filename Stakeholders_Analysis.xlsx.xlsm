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C:\Users\rafae\Desktop\"/>
    </mc:Choice>
  </mc:AlternateContent>
  <xr:revisionPtr revIDLastSave="0" documentId="13_ncr:1_{99435859-D42E-4261-BD87-8C41CD782D59}" xr6:coauthVersionLast="43" xr6:coauthVersionMax="43" xr10:uidLastSave="{00000000-0000-0000-0000-000000000000}"/>
  <bookViews>
    <workbookView xWindow="-108" yWindow="-108" windowWidth="23256" windowHeight="12576" xr2:uid="{007BE240-EC97-4A4B-B153-605B4BF3A68E}"/>
  </bookViews>
  <sheets>
    <sheet name="Dashboard" sheetId="4" r:id="rId1"/>
    <sheet name="Information" sheetId="1" r:id="rId2"/>
    <sheet name="Support" sheetId="2" state="hidden" r:id="rId3"/>
  </sheets>
  <definedNames>
    <definedName name="Slicer_Name">#N/A</definedName>
    <definedName name="Slicer_Project_Nam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23" i="1" l="1"/>
  <c r="M23" i="1" s="1"/>
  <c r="K23" i="1"/>
  <c r="J23" i="1"/>
  <c r="L22" i="1"/>
  <c r="M22" i="1" s="1"/>
  <c r="K22" i="1"/>
  <c r="J22" i="1"/>
  <c r="L21" i="1"/>
  <c r="M21" i="1" s="1"/>
  <c r="K21" i="1"/>
  <c r="J21" i="1"/>
  <c r="L20" i="1"/>
  <c r="M20" i="1" s="1"/>
  <c r="K20" i="1"/>
  <c r="J20" i="1"/>
  <c r="L19" i="1"/>
  <c r="M19" i="1" s="1"/>
  <c r="K19" i="1"/>
  <c r="J19" i="1"/>
  <c r="L18" i="1"/>
  <c r="M18" i="1" s="1"/>
  <c r="K18" i="1"/>
  <c r="J18" i="1"/>
  <c r="J17" i="1"/>
  <c r="K17" i="1"/>
  <c r="L17" i="1"/>
  <c r="M17" i="1" s="1"/>
  <c r="J16" i="1"/>
  <c r="K16" i="1"/>
  <c r="L16" i="1"/>
  <c r="M16" i="1" s="1"/>
  <c r="J15" i="1"/>
  <c r="K15" i="1"/>
  <c r="L15" i="1"/>
  <c r="M15" i="1" s="1"/>
  <c r="L13" i="1"/>
  <c r="M13" i="1" s="1"/>
  <c r="L14" i="1"/>
  <c r="M14" i="1" s="1"/>
  <c r="K14" i="1"/>
  <c r="J14" i="1"/>
  <c r="K13" i="1"/>
  <c r="J13" i="1"/>
  <c r="K8" i="1" l="1"/>
  <c r="H1" i="2"/>
  <c r="H2" i="2" s="1"/>
  <c r="D13" i="2"/>
  <c r="H5" i="2" l="1"/>
  <c r="H4" i="2"/>
  <c r="H3" i="2"/>
  <c r="K12" i="1"/>
  <c r="K11" i="1"/>
  <c r="K10" i="1"/>
  <c r="K9" i="1"/>
  <c r="J12" i="1"/>
  <c r="J11" i="1"/>
  <c r="J10" i="1"/>
  <c r="J9" i="1"/>
  <c r="J8" i="1"/>
  <c r="L9" i="1"/>
  <c r="M9" i="1" s="1"/>
  <c r="L10" i="1"/>
  <c r="M10" i="1" s="1"/>
  <c r="L11" i="1"/>
  <c r="M11" i="1" s="1"/>
  <c r="L12" i="1"/>
  <c r="M12" i="1" s="1"/>
  <c r="L8" i="1"/>
  <c r="M8" i="1" s="1"/>
  <c r="J5" i="4" l="1"/>
  <c r="K5" i="1"/>
</calcChain>
</file>

<file path=xl/sharedStrings.xml><?xml version="1.0" encoding="utf-8"?>
<sst xmlns="http://schemas.openxmlformats.org/spreadsheetml/2006/main" count="195" uniqueCount="84">
  <si>
    <t>Type of information</t>
  </si>
  <si>
    <t>Frequency</t>
  </si>
  <si>
    <t>Level of interested</t>
  </si>
  <si>
    <t>Preferred method of contact</t>
  </si>
  <si>
    <t>Name</t>
  </si>
  <si>
    <t>Interest Level</t>
  </si>
  <si>
    <t>Power Level</t>
  </si>
  <si>
    <t>Rules</t>
  </si>
  <si>
    <t>Monthly</t>
  </si>
  <si>
    <t>Biweekly</t>
  </si>
  <si>
    <t>Weekly</t>
  </si>
  <si>
    <t>Daily</t>
  </si>
  <si>
    <t>e-mail</t>
  </si>
  <si>
    <t>Phone</t>
  </si>
  <si>
    <t>Only when requested</t>
  </si>
  <si>
    <t>Some Interation</t>
  </si>
  <si>
    <t>No Interation</t>
  </si>
  <si>
    <t>Less Interation</t>
  </si>
  <si>
    <t>Medium Interation</t>
  </si>
  <si>
    <t>High Interation</t>
  </si>
  <si>
    <t>Monthly Dashboard and Only if extremely necessary for meetings</t>
  </si>
  <si>
    <t>Weekly Dashboard and Biweekly meetings</t>
  </si>
  <si>
    <t>Biweekly Dashboard and Monthly meetings</t>
  </si>
  <si>
    <t>Daily follow up - Weekly meetings</t>
  </si>
  <si>
    <t>Rafaela Polanski</t>
  </si>
  <si>
    <t>832-6239656</t>
  </si>
  <si>
    <t>Level of power</t>
  </si>
  <si>
    <t>Information be distribution</t>
  </si>
  <si>
    <t>Interation</t>
  </si>
  <si>
    <t>May</t>
  </si>
  <si>
    <t>January</t>
  </si>
  <si>
    <t>February</t>
  </si>
  <si>
    <t>March</t>
  </si>
  <si>
    <t>April</t>
  </si>
  <si>
    <t>June</t>
  </si>
  <si>
    <t>July</t>
  </si>
  <si>
    <t>August</t>
  </si>
  <si>
    <t>September</t>
  </si>
  <si>
    <t>October</t>
  </si>
  <si>
    <t>November</t>
  </si>
  <si>
    <t>December</t>
  </si>
  <si>
    <t>Monday</t>
  </si>
  <si>
    <t>Tuesday</t>
  </si>
  <si>
    <t>Wednesday</t>
  </si>
  <si>
    <t>Thursday</t>
  </si>
  <si>
    <t>Friday</t>
  </si>
  <si>
    <t>Saturday</t>
  </si>
  <si>
    <t>Sunday</t>
  </si>
  <si>
    <t>Row Labels</t>
  </si>
  <si>
    <t>Grand Total</t>
  </si>
  <si>
    <t>Count of Name</t>
  </si>
  <si>
    <t>Project Name</t>
  </si>
  <si>
    <t>Project X</t>
  </si>
  <si>
    <t>Project Y</t>
  </si>
  <si>
    <t>Project Z</t>
  </si>
  <si>
    <t>LET</t>
  </si>
  <si>
    <t>Column Labels</t>
  </si>
  <si>
    <t>Count of Frequency</t>
  </si>
  <si>
    <t>Kevin Bogoush</t>
  </si>
  <si>
    <t>William Kulju</t>
  </si>
  <si>
    <t>Brian Wood</t>
  </si>
  <si>
    <t>Andy Sanderson</t>
  </si>
  <si>
    <t>Sameer Jagtap</t>
  </si>
  <si>
    <t>kevin.bogoush@cifron.com</t>
  </si>
  <si>
    <t>william.kulju@cifron.com</t>
  </si>
  <si>
    <t>brian.wood@cifron.com</t>
  </si>
  <si>
    <t>andy.sanderson@cifron.com</t>
  </si>
  <si>
    <t>sameer.jagtap@cifron.com</t>
  </si>
  <si>
    <t>Email</t>
  </si>
  <si>
    <t>In person meeting</t>
  </si>
  <si>
    <t>Virtual Meeting</t>
  </si>
  <si>
    <t>Email &amp; Phone</t>
  </si>
  <si>
    <t>Email &amp; In person meeting</t>
  </si>
  <si>
    <t>Email &amp; Virtual meeting</t>
  </si>
  <si>
    <t>Email &amp; Phone &amp; In person meeting &amp; Virtual meeting</t>
  </si>
  <si>
    <t>Phone &amp; In person meeting &amp; Virtual meeting</t>
  </si>
  <si>
    <t>In person meeting &amp; Virtual meeting</t>
  </si>
  <si>
    <t>Phone &amp; Virtual meeting</t>
  </si>
  <si>
    <t>rafaela.polanski@cifron.com</t>
  </si>
  <si>
    <t>Monica Singhal</t>
  </si>
  <si>
    <t>monica.sighal@cifron.com</t>
  </si>
  <si>
    <t>Marva Kinkead</t>
  </si>
  <si>
    <t>marva.kinkead@cifron.com</t>
  </si>
  <si>
    <t>Virtual meeting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</si>
</sst>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0"/>
      <color theme="1"/>
      <name val="Century Gothic"/>
      <family val="2"/>
    </font>
    <font>
      <u/>
      <sz val="11"/>
      <color theme="10"/>
      <name val="Calibri"/>
      <family val="2"/>
      <scheme val="minor"/>
    </font>
    <font>
      <sz val="10"/>
      <color theme="0" tint="-0.14999847407452621"/>
      <name val="Century Gothic"/>
      <family val="2"/>
    </font>
    <font>
      <b/>
      <sz val="10"/>
      <color theme="0" tint="-0.14999847407452621"/>
      <name val="Century Gothic"/>
      <family val="2"/>
    </font>
    <font>
      <sz val="1"/>
      <color theme="1" tint="0.34998626667073579"/>
      <name val="Century Gothic"/>
      <family val="2"/>
    </font>
    <font>
      <sz val="8"/>
      <name val="Calibri"/>
      <family val="2"/>
      <scheme val="minor"/>
    </font>
    <font>
      <sz val="9"/>
      <color rgb="FF46558C"/>
      <name val="Century Gothic"/>
      <family val="2"/>
    </font>
    <font>
      <sz val="10"/>
      <color theme="0" tint="-0.249977111117893"/>
      <name val="Century Gothic"/>
      <family val="2"/>
    </font>
    <font>
      <sz val="12"/>
      <color theme="1"/>
      <name val="Calibri"/>
      <family val="2"/>
      <scheme val="minor"/>
    </font>
  </fonts>
  <fills count="4">
    <fill>
      <patternFill patternType="none"/>
    </fill>
    <fill>
      <patternFill patternType="gray125"/>
    </fill>
    <fill>
      <patternFill patternType="solid">
        <fgColor rgb="FF1B2137"/>
        <bgColor indexed="64"/>
      </patternFill>
    </fill>
    <fill>
      <patternFill patternType="solid">
        <fgColor rgb="FF1E253E"/>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0" fontId="9" fillId="0" borderId="0"/>
  </cellStyleXfs>
  <cellXfs count="26">
    <xf numFmtId="0" fontId="0" fillId="0" borderId="0" xfId="0"/>
    <xf numFmtId="0" fontId="1" fillId="0" borderId="0" xfId="0" applyFont="1"/>
    <xf numFmtId="0" fontId="3" fillId="2" borderId="0" xfId="0" applyFont="1" applyFill="1"/>
    <xf numFmtId="0" fontId="3" fillId="2" borderId="0" xfId="0" applyFont="1" applyFill="1" applyAlignment="1">
      <alignment horizontal="center"/>
    </xf>
    <xf numFmtId="0" fontId="4" fillId="2" borderId="0" xfId="0" applyFont="1" applyFill="1" applyAlignment="1">
      <alignment horizontal="center" vertical="center"/>
    </xf>
    <xf numFmtId="0" fontId="3" fillId="2" borderId="0" xfId="0" applyFont="1" applyFill="1" applyAlignment="1">
      <alignment horizontal="center" vertical="center"/>
    </xf>
    <xf numFmtId="14" fontId="0" fillId="0" borderId="0" xfId="0" applyNumberFormat="1"/>
    <xf numFmtId="0" fontId="3" fillId="3" borderId="0" xfId="0" applyFont="1" applyFill="1"/>
    <xf numFmtId="0" fontId="3" fillId="3"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NumberFormat="1"/>
    <xf numFmtId="0" fontId="3" fillId="2" borderId="0" xfId="0" applyFont="1" applyFill="1" applyProtection="1"/>
    <xf numFmtId="1" fontId="5" fillId="2" borderId="0" xfId="0" applyNumberFormat="1" applyFont="1" applyFill="1" applyProtection="1"/>
    <xf numFmtId="0" fontId="8" fillId="2" borderId="0" xfId="0" applyFont="1" applyFill="1"/>
    <xf numFmtId="0" fontId="8" fillId="2" borderId="0" xfId="0" applyFont="1" applyFill="1" applyAlignment="1">
      <alignment horizontal="center"/>
    </xf>
    <xf numFmtId="1" fontId="8" fillId="2" borderId="0" xfId="0" applyNumberFormat="1" applyFont="1" applyFill="1" applyAlignment="1">
      <alignment horizontal="center"/>
    </xf>
    <xf numFmtId="0" fontId="8" fillId="2" borderId="0" xfId="0" applyFont="1" applyFill="1" applyProtection="1"/>
    <xf numFmtId="0" fontId="2" fillId="2" borderId="0" xfId="1" applyFill="1" applyAlignment="1">
      <alignment horizontal="left"/>
    </xf>
    <xf numFmtId="0" fontId="8" fillId="2" borderId="0" xfId="0" applyFont="1" applyFill="1" applyBorder="1"/>
    <xf numFmtId="0" fontId="8" fillId="2" borderId="0" xfId="0" applyFont="1" applyFill="1" applyBorder="1" applyAlignment="1">
      <alignment horizontal="center"/>
    </xf>
    <xf numFmtId="1" fontId="8" fillId="2" borderId="0" xfId="0" applyNumberFormat="1" applyFont="1" applyFill="1" applyBorder="1" applyAlignment="1">
      <alignment horizontal="center"/>
    </xf>
    <xf numFmtId="0" fontId="8" fillId="2" borderId="0" xfId="0" applyFont="1" applyFill="1" applyBorder="1" applyProtection="1"/>
    <xf numFmtId="1" fontId="5" fillId="2" borderId="0" xfId="0" applyNumberFormat="1" applyFont="1" applyFill="1" applyBorder="1" applyProtection="1"/>
    <xf numFmtId="0" fontId="2" fillId="2" borderId="0" xfId="1" applyFill="1" applyBorder="1" applyAlignment="1">
      <alignment horizontal="left"/>
    </xf>
    <xf numFmtId="0" fontId="7" fillId="3" borderId="0" xfId="0" applyFont="1" applyFill="1" applyAlignment="1">
      <alignment horizontal="right" vertical="center"/>
    </xf>
  </cellXfs>
  <cellStyles count="3">
    <cellStyle name="Hyperlink" xfId="1" builtinId="8"/>
    <cellStyle name="Normal" xfId="0" builtinId="0"/>
    <cellStyle name="Normal 2" xfId="2" xr:uid="{9D502DC0-B909-41B3-822B-A6A3E2AA8E10}"/>
  </cellStyles>
  <dxfs count="15">
    <dxf>
      <font>
        <b val="0"/>
        <i val="0"/>
        <strike val="0"/>
        <condense val="0"/>
        <extend val="0"/>
        <outline val="0"/>
        <shadow val="0"/>
        <u val="none"/>
        <vertAlign val="baseline"/>
        <sz val="10"/>
        <color theme="0" tint="-0.249977111117893"/>
        <name val="Century Gothic"/>
        <family val="2"/>
        <scheme val="none"/>
      </font>
      <fill>
        <patternFill patternType="solid">
          <fgColor indexed="64"/>
          <bgColor rgb="FF1B2137"/>
        </patternFill>
      </fill>
    </dxf>
    <dxf>
      <font>
        <b val="0"/>
        <i val="0"/>
        <strike val="0"/>
        <condense val="0"/>
        <extend val="0"/>
        <outline val="0"/>
        <shadow val="0"/>
        <u val="none"/>
        <vertAlign val="baseline"/>
        <sz val="1"/>
        <color theme="1" tint="0.34998626667073579"/>
        <name val="Century Gothic"/>
        <family val="2"/>
        <scheme val="none"/>
      </font>
      <numFmt numFmtId="1" formatCode="0"/>
      <fill>
        <patternFill patternType="solid">
          <fgColor indexed="64"/>
          <bgColor rgb="FF1B2137"/>
        </patternFill>
      </fill>
      <protection locked="1" hidden="0"/>
    </dxf>
    <dxf>
      <font>
        <b val="0"/>
        <i val="0"/>
        <strike val="0"/>
        <condense val="0"/>
        <extend val="0"/>
        <outline val="0"/>
        <shadow val="0"/>
        <u val="none"/>
        <vertAlign val="baseline"/>
        <sz val="10"/>
        <color theme="0" tint="-0.249977111117893"/>
        <name val="Century Gothic"/>
        <family val="2"/>
        <scheme val="none"/>
      </font>
      <fill>
        <patternFill patternType="solid">
          <fgColor indexed="64"/>
          <bgColor rgb="FF1B2137"/>
        </patternFill>
      </fill>
      <protection locked="1" hidden="0"/>
    </dxf>
    <dxf>
      <font>
        <b val="0"/>
        <i val="0"/>
        <strike val="0"/>
        <condense val="0"/>
        <extend val="0"/>
        <outline val="0"/>
        <shadow val="0"/>
        <u val="none"/>
        <vertAlign val="baseline"/>
        <sz val="10"/>
        <color theme="0" tint="-0.249977111117893"/>
        <name val="Century Gothic"/>
        <family val="2"/>
        <scheme val="none"/>
      </font>
      <fill>
        <patternFill patternType="solid">
          <fgColor indexed="64"/>
          <bgColor rgb="FF1B2137"/>
        </patternFill>
      </fill>
      <protection locked="1" hidden="0"/>
    </dxf>
    <dxf>
      <font>
        <b val="0"/>
        <i val="0"/>
        <strike val="0"/>
        <condense val="0"/>
        <extend val="0"/>
        <outline val="0"/>
        <shadow val="0"/>
        <u val="none"/>
        <vertAlign val="baseline"/>
        <sz val="10"/>
        <color theme="0" tint="-0.249977111117893"/>
        <name val="Century Gothic"/>
        <family val="2"/>
        <scheme val="none"/>
      </font>
      <fill>
        <patternFill patternType="solid">
          <fgColor indexed="64"/>
          <bgColor rgb="FF1B2137"/>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tint="-0.249977111117893"/>
        <name val="Century Gothic"/>
        <family val="2"/>
        <scheme val="none"/>
      </font>
      <numFmt numFmtId="1" formatCode="0"/>
      <fill>
        <patternFill patternType="solid">
          <fgColor indexed="64"/>
          <bgColor rgb="FF1B2137"/>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tint="-0.249977111117893"/>
        <name val="Century Gothic"/>
        <family val="2"/>
        <scheme val="none"/>
      </font>
      <numFmt numFmtId="1" formatCode="0"/>
      <fill>
        <patternFill patternType="solid">
          <fgColor indexed="64"/>
          <bgColor rgb="FF1B2137"/>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tint="-0.249977111117893"/>
        <name val="Century Gothic"/>
        <family val="2"/>
        <scheme val="none"/>
      </font>
      <fill>
        <patternFill patternType="solid">
          <fgColor indexed="64"/>
          <bgColor rgb="FF1B2137"/>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tint="-0.249977111117893"/>
        <name val="Century Gothic"/>
        <family val="2"/>
        <scheme val="none"/>
      </font>
      <fill>
        <patternFill patternType="solid">
          <fgColor indexed="64"/>
          <bgColor rgb="FF1B2137"/>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tint="-0.249977111117893"/>
        <name val="Century Gothic"/>
        <family val="2"/>
        <scheme val="none"/>
      </font>
      <fill>
        <patternFill patternType="solid">
          <fgColor indexed="64"/>
          <bgColor rgb="FF1B2137"/>
        </patternFill>
      </fill>
    </dxf>
    <dxf>
      <font>
        <b val="0"/>
        <i val="0"/>
        <strike val="0"/>
        <condense val="0"/>
        <extend val="0"/>
        <outline val="0"/>
        <shadow val="0"/>
        <u/>
        <vertAlign val="baseline"/>
        <sz val="10"/>
        <color theme="0" tint="-0.249977111117893"/>
        <name val="Century Gothic"/>
        <family val="2"/>
        <scheme val="none"/>
      </font>
      <fill>
        <patternFill patternType="solid">
          <fgColor indexed="64"/>
          <bgColor rgb="FF1B2137"/>
        </patternFill>
      </fill>
      <alignment horizontal="left" vertical="bottom" textRotation="0" wrapText="0"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0" tint="-0.249977111117893"/>
        <name val="Century Gothic"/>
        <family val="2"/>
        <scheme val="none"/>
      </font>
      <fill>
        <patternFill patternType="solid">
          <fgColor indexed="64"/>
          <bgColor rgb="FF1B2137"/>
        </patternFill>
      </fill>
    </dxf>
    <dxf>
      <font>
        <b/>
        <i val="0"/>
        <strike val="0"/>
        <condense val="0"/>
        <extend val="0"/>
        <outline val="0"/>
        <shadow val="0"/>
        <u val="none"/>
        <vertAlign val="baseline"/>
        <sz val="10"/>
        <color theme="0" tint="-0.14999847407452621"/>
        <name val="Century Gothic"/>
        <family val="2"/>
        <scheme val="none"/>
      </font>
      <fill>
        <patternFill patternType="solid">
          <fgColor indexed="64"/>
          <bgColor rgb="FF1B2137"/>
        </patternFill>
      </fill>
      <alignment horizontal="center" vertical="center" textRotation="0" wrapText="0" indent="0" justifyLastLine="0" shrinkToFit="0" readingOrder="0"/>
    </dxf>
    <dxf>
      <font>
        <b/>
        <i val="0"/>
        <sz val="10"/>
        <color theme="0" tint="-0.24994659260841701"/>
        <name val="Calibri"/>
        <family val="2"/>
        <scheme val="minor"/>
      </font>
      <fill>
        <patternFill>
          <bgColor rgb="FF1B2137"/>
        </patternFill>
      </fill>
      <border diagonalUp="0" diagonalDown="0">
        <left/>
        <right/>
        <top/>
        <bottom/>
        <vertical/>
        <horizontal/>
      </border>
    </dxf>
    <dxf>
      <font>
        <sz val="10"/>
        <color theme="0" tint="-0.24994659260841701"/>
      </font>
      <fill>
        <patternFill>
          <bgColor rgb="FF1B2137"/>
        </patternFill>
      </fill>
      <border diagonalUp="0" diagonalDown="0">
        <left/>
        <right/>
        <top/>
        <bottom/>
        <vertical/>
        <horizontal/>
      </border>
    </dxf>
  </dxfs>
  <tableStyles count="1" defaultTableStyle="TableStyleMedium2" defaultPivotStyle="PivotStyleLight16">
    <tableStyle name="Slicer Style 1" pivot="0" table="0" count="10" xr9:uid="{0B5AC195-7D5F-4974-91DA-A8872B8537FA}">
      <tableStyleElement type="wholeTable" dxfId="14"/>
      <tableStyleElement type="headerRow" dxfId="13"/>
    </tableStyle>
  </tableStyles>
  <colors>
    <mruColors>
      <color rgb="FF252D4B"/>
      <color rgb="FF000000"/>
      <color rgb="FF36416A"/>
      <color rgb="FF46558C"/>
      <color rgb="FFB9F64A"/>
      <color rgb="FF5EF14F"/>
      <color rgb="FF1B2137"/>
      <color rgb="FFFA46DC"/>
      <color rgb="FFF34DC7"/>
      <color rgb="FF53EDED"/>
    </mruColors>
  </colors>
  <extLst>
    <ext xmlns:x14="http://schemas.microsoft.com/office/spreadsheetml/2009/9/main" uri="{46F421CA-312F-682f-3DD2-61675219B42D}">
      <x14:dxfs count="8">
        <dxf>
          <font>
            <sz val="10"/>
            <color theme="0" tint="-0.24994659260841701"/>
          </font>
          <fill>
            <patternFill>
              <bgColor rgb="FF1B2137"/>
            </patternFill>
          </fill>
          <border diagonalUp="0" diagonalDown="0">
            <left/>
            <right/>
            <top/>
            <bottom style="thin">
              <color rgb="FF46558C"/>
            </bottom>
            <vertical/>
            <horizontal/>
          </border>
        </dxf>
        <dxf>
          <font>
            <sz val="10"/>
            <color theme="0" tint="-0.24994659260841701"/>
          </font>
          <fill>
            <patternFill>
              <bgColor rgb="FF1B2137"/>
            </patternFill>
          </fill>
          <border diagonalUp="0" diagonalDown="0">
            <left/>
            <right/>
            <top/>
            <bottom/>
            <vertical/>
            <horizontal/>
          </border>
        </dxf>
        <dxf>
          <font>
            <sz val="10"/>
            <color theme="0" tint="-0.24994659260841701"/>
          </font>
          <fill>
            <patternFill>
              <bgColor rgb="FF1B2137"/>
            </patternFill>
          </fill>
          <border diagonalUp="0" diagonalDown="0">
            <left/>
            <right/>
            <top/>
            <bottom style="thin">
              <color rgb="FF46558C"/>
            </bottom>
            <vertical/>
            <horizontal/>
          </border>
        </dxf>
        <dxf>
          <font>
            <sz val="10"/>
            <color theme="0" tint="-0.24994659260841701"/>
          </font>
          <fill>
            <patternFill>
              <bgColor rgb="FF1B2137"/>
            </patternFill>
          </fill>
          <border diagonalUp="0" diagonalDown="0">
            <left/>
            <right/>
            <top/>
            <bottom style="thin">
              <color rgb="FF46558C"/>
            </bottom>
            <vertical/>
            <horizontal/>
          </border>
        </dxf>
        <dxf>
          <font>
            <sz val="10"/>
            <color theme="0" tint="-0.24994659260841701"/>
          </font>
          <fill>
            <patternFill>
              <bgColor rgb="FF1B2137"/>
            </patternFill>
          </fill>
          <border diagonalUp="0" diagonalDown="0">
            <left/>
            <right/>
            <top/>
            <bottom style="thin">
              <color rgb="FF46558C"/>
            </bottom>
            <vertical/>
            <horizontal/>
          </border>
        </dxf>
        <dxf>
          <font>
            <sz val="10"/>
            <color theme="0" tint="-0.24994659260841701"/>
          </font>
          <fill>
            <patternFill>
              <bgColor rgb="FF1B2137"/>
            </patternFill>
          </fill>
          <border diagonalUp="0" diagonalDown="0">
            <left/>
            <right/>
            <top/>
            <bottom/>
            <vertical/>
            <horizontal/>
          </border>
        </dxf>
        <dxf>
          <font>
            <sz val="10"/>
            <color theme="0" tint="-0.24994659260841701"/>
          </font>
          <fill>
            <patternFill>
              <bgColor rgb="FF1B2137"/>
            </patternFill>
          </fill>
          <border diagonalUp="0" diagonalDown="0">
            <left/>
            <right/>
            <top/>
            <bottom/>
            <vertical/>
            <horizontal/>
          </border>
        </dxf>
        <dxf>
          <font>
            <sz val="10"/>
            <color theme="0" tint="-0.24994659260841701"/>
          </font>
          <fill>
            <patternFill>
              <bgColor rgb="FF1B2137"/>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[Stakeholders.xlsx.xlsm]Support!PivotTable3</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pivotFmt>
      <c:pivotFmt>
        <c:idx val="9"/>
        <c:spPr>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pivotFmt>
      <c:pivotFmt>
        <c:idx val="10"/>
        <c:spPr>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pivotFmt>
      <c:pivotFmt>
        <c:idx val="11"/>
        <c:spPr>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pivotFmt>
      <c:pivotFmt>
        <c:idx val="12"/>
        <c:spPr>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pivotFmt>
      <c:pivotFmt>
        <c:idx val="13"/>
        <c:spPr>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pivotFmt>
      <c:pivotFmt>
        <c:idx val="14"/>
      </c:pivotFmt>
    </c:pivotFmts>
    <c:plotArea>
      <c:layout/>
      <c:lineChart>
        <c:grouping val="standard"/>
        <c:varyColors val="0"/>
        <c:ser>
          <c:idx val="0"/>
          <c:order val="0"/>
          <c:tx>
            <c:strRef>
              <c:f>Support!$G$12</c:f>
              <c:strCache>
                <c:ptCount val="1"/>
                <c:pt idx="0">
                  <c:v>Total</c:v>
                </c:pt>
              </c:strCache>
            </c:strRef>
          </c:tx>
          <c:spPr>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Pt>
            <c:idx val="0"/>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05-3A64-4437-94EA-56C0F533CC27}"/>
              </c:ext>
            </c:extLst>
          </c:dPt>
          <c:dPt>
            <c:idx val="1"/>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02-3A64-4437-94EA-56C0F533CC27}"/>
              </c:ext>
            </c:extLst>
          </c:dPt>
          <c:dPt>
            <c:idx val="2"/>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04-3A64-4437-94EA-56C0F533CC27}"/>
              </c:ext>
            </c:extLst>
          </c:dPt>
          <c:dPt>
            <c:idx val="3"/>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03-3A64-4437-94EA-56C0F533CC27}"/>
              </c:ext>
            </c:extLst>
          </c:dPt>
          <c:dPt>
            <c:idx val="4"/>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01-3A64-4437-94EA-56C0F533CC27}"/>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Support!$F$13:$F$18</c:f>
              <c:strCache>
                <c:ptCount val="5"/>
                <c:pt idx="0">
                  <c:v>High Interation</c:v>
                </c:pt>
                <c:pt idx="1">
                  <c:v>Less Interation</c:v>
                </c:pt>
                <c:pt idx="2">
                  <c:v>Medium Interation</c:v>
                </c:pt>
                <c:pt idx="3">
                  <c:v>No Interation</c:v>
                </c:pt>
                <c:pt idx="4">
                  <c:v>Some Interation</c:v>
                </c:pt>
              </c:strCache>
            </c:strRef>
          </c:cat>
          <c:val>
            <c:numRef>
              <c:f>Support!$G$13:$G$18</c:f>
              <c:numCache>
                <c:formatCode>General</c:formatCode>
                <c:ptCount val="5"/>
                <c:pt idx="0">
                  <c:v>1</c:v>
                </c:pt>
                <c:pt idx="1">
                  <c:v>3</c:v>
                </c:pt>
                <c:pt idx="2">
                  <c:v>4</c:v>
                </c:pt>
                <c:pt idx="3">
                  <c:v>6</c:v>
                </c:pt>
                <c:pt idx="4">
                  <c:v>2</c:v>
                </c:pt>
              </c:numCache>
            </c:numRef>
          </c:val>
          <c:smooth val="0"/>
          <c:extLst>
            <c:ext xmlns:c16="http://schemas.microsoft.com/office/drawing/2014/chart" uri="{C3380CC4-5D6E-409C-BE32-E72D297353CC}">
              <c16:uniqueId val="{00000000-3A64-4437-94EA-56C0F533CC27}"/>
            </c:ext>
          </c:extLst>
        </c:ser>
        <c:dLbls>
          <c:dLblPos val="t"/>
          <c:showLegendKey val="0"/>
          <c:showVal val="1"/>
          <c:showCatName val="0"/>
          <c:showSerName val="0"/>
          <c:showPercent val="0"/>
          <c:showBubbleSize val="0"/>
        </c:dLbls>
        <c:dropLines>
          <c:spPr>
            <a:ln w="9525" cap="flat" cmpd="sng" algn="ctr">
              <a:solidFill>
                <a:srgbClr val="36416A">
                  <a:alpha val="36000"/>
                </a:srgbClr>
              </a:solidFill>
              <a:prstDash val="solid"/>
              <a:round/>
            </a:ln>
            <a:effectLst/>
          </c:spPr>
        </c:dropLines>
        <c:marker val="1"/>
        <c:smooth val="0"/>
        <c:axId val="776148576"/>
        <c:axId val="566317488"/>
      </c:lineChart>
      <c:catAx>
        <c:axId val="776148576"/>
        <c:scaling>
          <c:orientation val="minMax"/>
        </c:scaling>
        <c:delete val="0"/>
        <c:axPos val="b"/>
        <c:numFmt formatCode="General" sourceLinked="1"/>
        <c:majorTickMark val="none"/>
        <c:minorTickMark val="none"/>
        <c:tickLblPos val="nextTo"/>
        <c:spPr>
          <a:noFill/>
          <a:ln w="9525" cap="flat" cmpd="sng" algn="ctr">
            <a:solidFill>
              <a:srgbClr val="262D47"/>
            </a:solidFill>
            <a:round/>
          </a:ln>
          <a:effectLst/>
        </c:spPr>
        <c:txPr>
          <a:bodyPr rot="-60000000" spcFirstLastPara="1" vertOverflow="ellipsis" vert="horz" wrap="square" anchor="ctr" anchorCtr="1"/>
          <a:lstStyle/>
          <a:p>
            <a:pPr>
              <a:defRPr sz="1100" b="0" i="0" u="none" strike="noStrike" kern="1200" spc="20" baseline="0">
                <a:solidFill>
                  <a:schemeClr val="bg1">
                    <a:lumMod val="65000"/>
                  </a:schemeClr>
                </a:solidFill>
                <a:latin typeface="+mn-lt"/>
                <a:ea typeface="+mn-ea"/>
                <a:cs typeface="+mn-cs"/>
              </a:defRPr>
            </a:pPr>
            <a:endParaRPr lang="en-US"/>
          </a:p>
        </c:txPr>
        <c:crossAx val="566317488"/>
        <c:crosses val="autoZero"/>
        <c:auto val="1"/>
        <c:lblAlgn val="ctr"/>
        <c:lblOffset val="100"/>
        <c:noMultiLvlLbl val="0"/>
      </c:catAx>
      <c:valAx>
        <c:axId val="566317488"/>
        <c:scaling>
          <c:orientation val="minMax"/>
        </c:scaling>
        <c:delete val="1"/>
        <c:axPos val="l"/>
        <c:numFmt formatCode="General" sourceLinked="1"/>
        <c:majorTickMark val="none"/>
        <c:minorTickMark val="none"/>
        <c:tickLblPos val="nextTo"/>
        <c:crossAx val="776148576"/>
        <c:crosses val="autoZero"/>
        <c:crossBetween val="between"/>
      </c:valAx>
      <c:spPr>
        <a:gradFill flip="none" rotWithShape="1">
          <a:gsLst>
            <a:gs pos="0">
              <a:srgbClr val="36416A">
                <a:alpha val="54000"/>
              </a:srgbClr>
            </a:gs>
            <a:gs pos="50000">
              <a:srgbClr val="36416A">
                <a:alpha val="14000"/>
              </a:srgbClr>
            </a:gs>
            <a:gs pos="100000">
              <a:srgbClr val="36416A">
                <a:alpha val="0"/>
              </a:srgbClr>
            </a:gs>
          </a:gsLst>
          <a:lin ang="1620000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alpha val="0"/>
      </a:srgb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[Stakeholders.xlsx.xlsm]Support!PivotTable5</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gradFill>
                <a:gsLst>
                  <a:gs pos="0">
                    <a:srgbClr val="FFC000"/>
                  </a:gs>
                  <a:gs pos="74000">
                    <a:srgbClr val="FFC000">
                      <a:alpha val="74902"/>
                    </a:srgbClr>
                  </a:gs>
                  <a:gs pos="83000">
                    <a:srgbClr val="FFC000">
                      <a:alpha val="50196"/>
                    </a:srgbClr>
                  </a:gs>
                  <a:gs pos="100000">
                    <a:srgbClr val="FFC000">
                      <a:alpha val="25098"/>
                    </a:srgbClr>
                  </a:gs>
                </a:gsLst>
                <a:lin ang="5400000" scaled="1"/>
              </a:gra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C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53000">
                <a:srgbClr val="00B0F0">
                  <a:alpha val="15000"/>
                </a:srgbClr>
              </a:gs>
              <a:gs pos="0">
                <a:srgbClr val="00B0F0">
                  <a:alpha val="0"/>
                </a:srgbClr>
              </a:gs>
              <a:gs pos="28000">
                <a:srgbClr val="00B0F0">
                  <a:alpha val="10000"/>
                </a:srgbClr>
              </a:gs>
              <a:gs pos="77000">
                <a:srgbClr val="00B0F0">
                  <a:alpha val="20000"/>
                </a:srgbClr>
              </a:gs>
              <a:gs pos="100000">
                <a:srgbClr val="00B0F0">
                  <a:alpha val="30000"/>
                </a:srgbClr>
              </a:gs>
            </a:gsLst>
            <a:lin ang="5400000" scaled="1"/>
          </a:gradFill>
          <a:ln w="9525" cap="flat" cmpd="sng" algn="ctr">
            <a:solidFill>
              <a:schemeClr val="accent4">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46558C"/>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53000">
                <a:srgbClr val="00B0F0">
                  <a:alpha val="15000"/>
                </a:srgbClr>
              </a:gs>
              <a:gs pos="0">
                <a:srgbClr val="00B0F0">
                  <a:alpha val="0"/>
                </a:srgbClr>
              </a:gs>
              <a:gs pos="28000">
                <a:srgbClr val="00B0F0">
                  <a:alpha val="10000"/>
                </a:srgbClr>
              </a:gs>
              <a:gs pos="77000">
                <a:srgbClr val="00B0F0">
                  <a:alpha val="20000"/>
                </a:srgbClr>
              </a:gs>
              <a:gs pos="100000">
                <a:srgbClr val="00B0F0">
                  <a:alpha val="30000"/>
                </a:srgbClr>
              </a:gs>
            </a:gsLst>
            <a:lin ang="5400000" scaled="1"/>
          </a:gradFill>
          <a:ln w="9525" cap="flat" cmpd="sng" algn="ctr">
            <a:no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46558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53000">
                <a:srgbClr val="00B0F0">
                  <a:alpha val="15000"/>
                </a:srgbClr>
              </a:gs>
              <a:gs pos="0">
                <a:srgbClr val="00B0F0">
                  <a:alpha val="0"/>
                </a:srgbClr>
              </a:gs>
              <a:gs pos="28000">
                <a:srgbClr val="00B0F0">
                  <a:alpha val="10000"/>
                </a:srgbClr>
              </a:gs>
              <a:gs pos="77000">
                <a:srgbClr val="00B0F0">
                  <a:alpha val="20000"/>
                </a:srgbClr>
              </a:gs>
              <a:gs pos="100000">
                <a:srgbClr val="00B0F0">
                  <a:alpha val="30000"/>
                </a:srgbClr>
              </a:gs>
            </a:gsLst>
            <a:lin ang="5400000" scaled="1"/>
          </a:gradFill>
          <a:ln w="9525" cap="flat" cmpd="sng" algn="ctr">
            <a:no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46558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53000">
                <a:srgbClr val="00B0F0">
                  <a:alpha val="15000"/>
                </a:srgbClr>
              </a:gs>
              <a:gs pos="0">
                <a:srgbClr val="00B0F0">
                  <a:alpha val="0"/>
                </a:srgbClr>
              </a:gs>
              <a:gs pos="28000">
                <a:srgbClr val="00B0F0">
                  <a:alpha val="10000"/>
                </a:srgbClr>
              </a:gs>
              <a:gs pos="77000">
                <a:srgbClr val="00B0F0">
                  <a:alpha val="20000"/>
                </a:srgbClr>
              </a:gs>
              <a:gs pos="100000">
                <a:srgbClr val="00B0F0">
                  <a:alpha val="30000"/>
                </a:srgbClr>
              </a:gs>
            </a:gsLst>
            <a:lin ang="5400000" scaled="1"/>
          </a:gradFill>
          <a:ln w="9525" cap="flat" cmpd="sng" algn="ctr">
            <a:no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46558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Support!$L$18</c:f>
              <c:strCache>
                <c:ptCount val="1"/>
                <c:pt idx="0">
                  <c:v>Total</c:v>
                </c:pt>
              </c:strCache>
            </c:strRef>
          </c:tx>
          <c:spPr>
            <a:gradFill rotWithShape="1">
              <a:gsLst>
                <a:gs pos="53000">
                  <a:srgbClr val="00B0F0">
                    <a:alpha val="15000"/>
                  </a:srgbClr>
                </a:gs>
                <a:gs pos="0">
                  <a:srgbClr val="00B0F0">
                    <a:alpha val="0"/>
                  </a:srgbClr>
                </a:gs>
                <a:gs pos="28000">
                  <a:srgbClr val="00B0F0">
                    <a:alpha val="10000"/>
                  </a:srgbClr>
                </a:gs>
                <a:gs pos="77000">
                  <a:srgbClr val="00B0F0">
                    <a:alpha val="20000"/>
                  </a:srgbClr>
                </a:gs>
                <a:gs pos="100000">
                  <a:srgbClr val="00B0F0">
                    <a:alpha val="30000"/>
                  </a:srgbClr>
                </a:gs>
              </a:gsLst>
              <a:lin ang="5400000" scaled="1"/>
            </a:gradFill>
            <a:ln w="9525" cap="flat" cmpd="sng" algn="ctr">
              <a:solidFill>
                <a:schemeClr val="accent4">
                  <a:shade val="95000"/>
                </a:schemeClr>
              </a:solidFill>
              <a:round/>
            </a:ln>
            <a:effectLst/>
          </c:spPr>
          <c:invertIfNegative val="0"/>
          <c:dPt>
            <c:idx val="0"/>
            <c:invertIfNegative val="0"/>
            <c:bubble3D val="0"/>
            <c:spPr>
              <a:gradFill rotWithShape="1">
                <a:gsLst>
                  <a:gs pos="53000">
                    <a:srgbClr val="00B0F0">
                      <a:alpha val="15000"/>
                    </a:srgbClr>
                  </a:gs>
                  <a:gs pos="0">
                    <a:srgbClr val="00B0F0">
                      <a:alpha val="0"/>
                    </a:srgbClr>
                  </a:gs>
                  <a:gs pos="28000">
                    <a:srgbClr val="00B0F0">
                      <a:alpha val="10000"/>
                    </a:srgbClr>
                  </a:gs>
                  <a:gs pos="77000">
                    <a:srgbClr val="00B0F0">
                      <a:alpha val="20000"/>
                    </a:srgbClr>
                  </a:gs>
                  <a:gs pos="100000">
                    <a:srgbClr val="00B0F0">
                      <a:alpha val="30000"/>
                    </a:srgbClr>
                  </a:gs>
                </a:gsLst>
                <a:lin ang="5400000" scaled="1"/>
              </a:gradFill>
              <a:ln w="9525" cap="flat" cmpd="sng" algn="ctr">
                <a:noFill/>
                <a:round/>
              </a:ln>
              <a:effectLst/>
            </c:spPr>
            <c:extLst>
              <c:ext xmlns:c16="http://schemas.microsoft.com/office/drawing/2014/chart" uri="{C3380CC4-5D6E-409C-BE32-E72D297353CC}">
                <c16:uniqueId val="{00000000-2ECF-4B7D-8E24-89A8E7AD09A2}"/>
              </c:ext>
            </c:extLst>
          </c:dPt>
          <c:dPt>
            <c:idx val="1"/>
            <c:invertIfNegative val="0"/>
            <c:bubble3D val="0"/>
            <c:spPr>
              <a:gradFill rotWithShape="1">
                <a:gsLst>
                  <a:gs pos="53000">
                    <a:srgbClr val="00B0F0">
                      <a:alpha val="15000"/>
                    </a:srgbClr>
                  </a:gs>
                  <a:gs pos="0">
                    <a:srgbClr val="00B0F0">
                      <a:alpha val="0"/>
                    </a:srgbClr>
                  </a:gs>
                  <a:gs pos="28000">
                    <a:srgbClr val="00B0F0">
                      <a:alpha val="10000"/>
                    </a:srgbClr>
                  </a:gs>
                  <a:gs pos="77000">
                    <a:srgbClr val="00B0F0">
                      <a:alpha val="20000"/>
                    </a:srgbClr>
                  </a:gs>
                  <a:gs pos="100000">
                    <a:srgbClr val="00B0F0">
                      <a:alpha val="30000"/>
                    </a:srgbClr>
                  </a:gs>
                </a:gsLst>
                <a:lin ang="5400000" scaled="1"/>
              </a:gradFill>
              <a:ln w="9525" cap="flat" cmpd="sng" algn="ctr">
                <a:noFill/>
                <a:round/>
              </a:ln>
              <a:effectLst/>
            </c:spPr>
            <c:extLst>
              <c:ext xmlns:c16="http://schemas.microsoft.com/office/drawing/2014/chart" uri="{C3380CC4-5D6E-409C-BE32-E72D297353CC}">
                <c16:uniqueId val="{00000001-2ECF-4B7D-8E24-89A8E7AD09A2}"/>
              </c:ext>
            </c:extLst>
          </c:dPt>
          <c:dPt>
            <c:idx val="2"/>
            <c:invertIfNegative val="0"/>
            <c:bubble3D val="0"/>
            <c:spPr>
              <a:gradFill rotWithShape="1">
                <a:gsLst>
                  <a:gs pos="53000">
                    <a:srgbClr val="00B0F0">
                      <a:alpha val="15000"/>
                    </a:srgbClr>
                  </a:gs>
                  <a:gs pos="0">
                    <a:srgbClr val="00B0F0">
                      <a:alpha val="0"/>
                    </a:srgbClr>
                  </a:gs>
                  <a:gs pos="28000">
                    <a:srgbClr val="00B0F0">
                      <a:alpha val="10000"/>
                    </a:srgbClr>
                  </a:gs>
                  <a:gs pos="77000">
                    <a:srgbClr val="00B0F0">
                      <a:alpha val="20000"/>
                    </a:srgbClr>
                  </a:gs>
                  <a:gs pos="100000">
                    <a:srgbClr val="00B0F0">
                      <a:alpha val="30000"/>
                    </a:srgbClr>
                  </a:gs>
                </a:gsLst>
                <a:lin ang="5400000" scaled="1"/>
              </a:gradFill>
              <a:ln w="9525" cap="flat" cmpd="sng" algn="ctr">
                <a:noFill/>
                <a:round/>
              </a:ln>
              <a:effectLst/>
            </c:spPr>
            <c:extLst>
              <c:ext xmlns:c16="http://schemas.microsoft.com/office/drawing/2014/chart" uri="{C3380CC4-5D6E-409C-BE32-E72D297353CC}">
                <c16:uniqueId val="{00000002-2ECF-4B7D-8E24-89A8E7AD09A2}"/>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CF-4B7D-8E24-89A8E7AD09A2}"/>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CF-4B7D-8E24-89A8E7AD09A2}"/>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CF-4B7D-8E24-89A8E7AD09A2}"/>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46558C"/>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Support!$K$19:$K$22</c:f>
              <c:strCache>
                <c:ptCount val="3"/>
                <c:pt idx="0">
                  <c:v>Project X</c:v>
                </c:pt>
                <c:pt idx="1">
                  <c:v>Project Y</c:v>
                </c:pt>
                <c:pt idx="2">
                  <c:v>Project Z</c:v>
                </c:pt>
              </c:strCache>
            </c:strRef>
          </c:cat>
          <c:val>
            <c:numRef>
              <c:f>Support!$L$19:$L$22</c:f>
              <c:numCache>
                <c:formatCode>General</c:formatCode>
                <c:ptCount val="3"/>
                <c:pt idx="0">
                  <c:v>5</c:v>
                </c:pt>
                <c:pt idx="1">
                  <c:v>5</c:v>
                </c:pt>
                <c:pt idx="2">
                  <c:v>6</c:v>
                </c:pt>
              </c:numCache>
            </c:numRef>
          </c:val>
          <c:extLst>
            <c:ext xmlns:c16="http://schemas.microsoft.com/office/drawing/2014/chart" uri="{C3380CC4-5D6E-409C-BE32-E72D297353CC}">
              <c16:uniqueId val="{00000003-2ECF-4B7D-8E24-89A8E7AD09A2}"/>
            </c:ext>
          </c:extLst>
        </c:ser>
        <c:dLbls>
          <c:showLegendKey val="0"/>
          <c:showVal val="0"/>
          <c:showCatName val="0"/>
          <c:showSerName val="0"/>
          <c:showPercent val="0"/>
          <c:showBubbleSize val="0"/>
        </c:dLbls>
        <c:gapWidth val="150"/>
        <c:axId val="776148576"/>
        <c:axId val="566317488"/>
      </c:barChart>
      <c:catAx>
        <c:axId val="776148576"/>
        <c:scaling>
          <c:orientation val="minMax"/>
        </c:scaling>
        <c:delete val="0"/>
        <c:axPos val="b"/>
        <c:numFmt formatCode="General" sourceLinked="1"/>
        <c:majorTickMark val="none"/>
        <c:minorTickMark val="none"/>
        <c:tickLblPos val="nextTo"/>
        <c:spPr>
          <a:noFill/>
          <a:ln w="9525" cap="flat" cmpd="sng" algn="ctr">
            <a:solidFill>
              <a:srgbClr val="262D47"/>
            </a:solidFill>
            <a:round/>
          </a:ln>
          <a:effectLst/>
        </c:spPr>
        <c:txPr>
          <a:bodyPr rot="-60000000" spcFirstLastPara="1" vertOverflow="ellipsis" vert="horz" wrap="square" anchor="ctr" anchorCtr="1"/>
          <a:lstStyle/>
          <a:p>
            <a:pPr>
              <a:defRPr sz="1100" b="0" i="0" u="none" strike="noStrike" kern="1200" spc="20" baseline="0">
                <a:solidFill>
                  <a:srgbClr val="46558C"/>
                </a:solidFill>
                <a:latin typeface="+mn-lt"/>
                <a:ea typeface="+mn-ea"/>
                <a:cs typeface="+mn-cs"/>
              </a:defRPr>
            </a:pPr>
            <a:endParaRPr lang="en-US"/>
          </a:p>
        </c:txPr>
        <c:crossAx val="566317488"/>
        <c:crosses val="autoZero"/>
        <c:auto val="1"/>
        <c:lblAlgn val="ctr"/>
        <c:lblOffset val="100"/>
        <c:noMultiLvlLbl val="0"/>
      </c:catAx>
      <c:valAx>
        <c:axId val="566317488"/>
        <c:scaling>
          <c:orientation val="minMax"/>
        </c:scaling>
        <c:delete val="1"/>
        <c:axPos val="l"/>
        <c:numFmt formatCode="General" sourceLinked="1"/>
        <c:majorTickMark val="none"/>
        <c:minorTickMark val="none"/>
        <c:tickLblPos val="nextTo"/>
        <c:crossAx val="776148576"/>
        <c:crosses val="autoZero"/>
        <c:crossBetween val="between"/>
      </c:valAx>
      <c:spPr>
        <a:gradFill flip="none" rotWithShape="1">
          <a:gsLst>
            <a:gs pos="0">
              <a:srgbClr val="36416A">
                <a:alpha val="54000"/>
              </a:srgbClr>
            </a:gs>
            <a:gs pos="50000">
              <a:srgbClr val="36416A">
                <a:alpha val="14000"/>
              </a:srgbClr>
            </a:gs>
            <a:gs pos="100000">
              <a:srgbClr val="36416A">
                <a:alpha val="0"/>
              </a:srgbClr>
            </a:gs>
          </a:gsLst>
          <a:lin ang="16200000" scaled="1"/>
          <a:tileRect/>
        </a:gradFill>
        <a:ln>
          <a:noFill/>
        </a:ln>
        <a:effectLst/>
      </c:spPr>
    </c:plotArea>
    <c:plotVisOnly val="1"/>
    <c:dispBlanksAs val="gap"/>
    <c:showDLblsOverMax val="0"/>
    <c:extLst/>
  </c:chart>
  <c:spPr>
    <a:solidFill>
      <a:srgbClr val="000000">
        <a:alpha val="0"/>
      </a:srgb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[Stakeholders.xlsx.xlsm]Support!PivotTable43</c:name>
    <c:fmtId val="10"/>
  </c:pivotSource>
  <c:chart>
    <c:autoTitleDeleted val="1"/>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rgbClr val="5EF14F"/>
            </a:solidFill>
            <a:prstDash val="sysDot"/>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B9F64A"/>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3.538982665806651E-2"/>
          <c:y val="6.3410613086038126E-2"/>
          <c:w val="0.90130698114049501"/>
          <c:h val="0.90130698114049501"/>
        </c:manualLayout>
      </c:layout>
      <c:radarChart>
        <c:radarStyle val="marker"/>
        <c:varyColors val="0"/>
        <c:ser>
          <c:idx val="0"/>
          <c:order val="0"/>
          <c:tx>
            <c:strRef>
              <c:f>Support!$G$26</c:f>
              <c:strCache>
                <c:ptCount val="1"/>
                <c:pt idx="0">
                  <c:v>Total</c:v>
                </c:pt>
              </c:strCache>
            </c:strRef>
          </c:tx>
          <c:spPr>
            <a:ln w="34925" cap="rnd">
              <a:solidFill>
                <a:srgbClr val="5EF14F"/>
              </a:solidFill>
              <a:prstDash val="sysDot"/>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B9F64A"/>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Support!$F$27:$F$32</c:f>
              <c:strCache>
                <c:ptCount val="5"/>
                <c:pt idx="0">
                  <c:v>Biweekly</c:v>
                </c:pt>
                <c:pt idx="1">
                  <c:v>Daily</c:v>
                </c:pt>
                <c:pt idx="2">
                  <c:v>Monthly</c:v>
                </c:pt>
                <c:pt idx="3">
                  <c:v>Only when requested</c:v>
                </c:pt>
                <c:pt idx="4">
                  <c:v>Weekly</c:v>
                </c:pt>
              </c:strCache>
            </c:strRef>
          </c:cat>
          <c:val>
            <c:numRef>
              <c:f>Support!$G$27:$G$32</c:f>
              <c:numCache>
                <c:formatCode>General</c:formatCode>
                <c:ptCount val="5"/>
                <c:pt idx="0">
                  <c:v>4</c:v>
                </c:pt>
                <c:pt idx="1">
                  <c:v>1</c:v>
                </c:pt>
                <c:pt idx="2">
                  <c:v>3</c:v>
                </c:pt>
                <c:pt idx="3">
                  <c:v>6</c:v>
                </c:pt>
                <c:pt idx="4">
                  <c:v>2</c:v>
                </c:pt>
              </c:numCache>
            </c:numRef>
          </c:val>
          <c:extLst>
            <c:ext xmlns:c16="http://schemas.microsoft.com/office/drawing/2014/chart" uri="{C3380CC4-5D6E-409C-BE32-E72D297353CC}">
              <c16:uniqueId val="{00000000-22A5-4680-AAFB-184EBDFD5C74}"/>
            </c:ext>
          </c:extLst>
        </c:ser>
        <c:dLbls>
          <c:showLegendKey val="0"/>
          <c:showVal val="1"/>
          <c:showCatName val="0"/>
          <c:showSerName val="0"/>
          <c:showPercent val="0"/>
          <c:showBubbleSize val="0"/>
        </c:dLbls>
        <c:axId val="835086432"/>
        <c:axId val="710299392"/>
      </c:radarChart>
      <c:catAx>
        <c:axId val="835086432"/>
        <c:scaling>
          <c:orientation val="minMax"/>
        </c:scaling>
        <c:delete val="1"/>
        <c:axPos val="b"/>
        <c:numFmt formatCode="General" sourceLinked="1"/>
        <c:majorTickMark val="none"/>
        <c:minorTickMark val="none"/>
        <c:tickLblPos val="nextTo"/>
        <c:crossAx val="710299392"/>
        <c:crosses val="autoZero"/>
        <c:auto val="1"/>
        <c:lblAlgn val="ctr"/>
        <c:lblOffset val="100"/>
        <c:noMultiLvlLbl val="0"/>
      </c:catAx>
      <c:valAx>
        <c:axId val="710299392"/>
        <c:scaling>
          <c:orientation val="minMax"/>
        </c:scaling>
        <c:delete val="1"/>
        <c:axPos val="l"/>
        <c:majorGridlines>
          <c:spPr>
            <a:ln w="9525" cap="flat" cmpd="sng" algn="ctr">
              <a:solidFill>
                <a:srgbClr val="252D4B"/>
              </a:solidFill>
              <a:round/>
            </a:ln>
            <a:effectLst/>
          </c:spPr>
        </c:majorGridlines>
        <c:numFmt formatCode="General" sourceLinked="1"/>
        <c:majorTickMark val="none"/>
        <c:minorTickMark val="none"/>
        <c:tickLblPos val="nextTo"/>
        <c:crossAx val="83508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762000</xdr:colOff>
      <xdr:row>3</xdr:row>
      <xdr:rowOff>161924</xdr:rowOff>
    </xdr:to>
    <xdr:sp macro="" textlink="">
      <xdr:nvSpPr>
        <xdr:cNvPr id="2" name="Rectangle 1">
          <a:extLst>
            <a:ext uri="{FF2B5EF4-FFF2-40B4-BE49-F238E27FC236}">
              <a16:creationId xmlns:a16="http://schemas.microsoft.com/office/drawing/2014/main" id="{4ABEEC08-B64C-4797-B140-863A1AB73058}"/>
            </a:ext>
          </a:extLst>
        </xdr:cNvPr>
        <xdr:cNvSpPr/>
      </xdr:nvSpPr>
      <xdr:spPr>
        <a:xfrm>
          <a:off x="0" y="0"/>
          <a:ext cx="18364200" cy="66484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0</xdr:colOff>
      <xdr:row>3</xdr:row>
      <xdr:rowOff>158111</xdr:rowOff>
    </xdr:from>
    <xdr:to>
      <xdr:col>11</xdr:col>
      <xdr:colOff>762000</xdr:colOff>
      <xdr:row>4</xdr:row>
      <xdr:rowOff>14093</xdr:rowOff>
    </xdr:to>
    <xdr:sp macro="" textlink="">
      <xdr:nvSpPr>
        <xdr:cNvPr id="4" name="Rectangle 3">
          <a:extLst>
            <a:ext uri="{FF2B5EF4-FFF2-40B4-BE49-F238E27FC236}">
              <a16:creationId xmlns:a16="http://schemas.microsoft.com/office/drawing/2014/main" id="{827E5931-99B1-41E0-BB47-1E5B32E4372D}"/>
            </a:ext>
          </a:extLst>
        </xdr:cNvPr>
        <xdr:cNvSpPr/>
      </xdr:nvSpPr>
      <xdr:spPr>
        <a:xfrm>
          <a:off x="0" y="661031"/>
          <a:ext cx="18364200" cy="23622"/>
        </a:xfrm>
        <a:prstGeom prst="rect">
          <a:avLst/>
        </a:prstGeom>
        <a:solidFill>
          <a:srgbClr val="2A33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0</xdr:colOff>
      <xdr:row>0</xdr:row>
      <xdr:rowOff>1</xdr:rowOff>
    </xdr:from>
    <xdr:to>
      <xdr:col>2</xdr:col>
      <xdr:colOff>180975</xdr:colOff>
      <xdr:row>5</xdr:row>
      <xdr:rowOff>54630</xdr:rowOff>
    </xdr:to>
    <xdr:pic>
      <xdr:nvPicPr>
        <xdr:cNvPr id="5" name="Picture 4">
          <a:extLst>
            <a:ext uri="{FF2B5EF4-FFF2-40B4-BE49-F238E27FC236}">
              <a16:creationId xmlns:a16="http://schemas.microsoft.com/office/drawing/2014/main" id="{E1CFABBB-5FE0-487A-8D86-6A410BA855F8}"/>
            </a:ext>
          </a:extLst>
        </xdr:cNvPr>
        <xdr:cNvPicPr>
          <a:picLocks noChangeAspect="1"/>
        </xdr:cNvPicPr>
      </xdr:nvPicPr>
      <xdr:blipFill>
        <a:blip xmlns:r="http://schemas.openxmlformats.org/officeDocument/2006/relationships" r:embed="rId1"/>
        <a:stretch>
          <a:fillRect/>
        </a:stretch>
      </xdr:blipFill>
      <xdr:spPr>
        <a:xfrm>
          <a:off x="0" y="1"/>
          <a:ext cx="2409825" cy="921404"/>
        </a:xfrm>
        <a:prstGeom prst="rect">
          <a:avLst/>
        </a:prstGeom>
      </xdr:spPr>
    </xdr:pic>
    <xdr:clientData/>
  </xdr:twoCellAnchor>
  <xdr:twoCellAnchor>
    <xdr:from>
      <xdr:col>2</xdr:col>
      <xdr:colOff>790575</xdr:colOff>
      <xdr:row>7</xdr:row>
      <xdr:rowOff>161925</xdr:rowOff>
    </xdr:from>
    <xdr:to>
      <xdr:col>6</xdr:col>
      <xdr:colOff>1095375</xdr:colOff>
      <xdr:row>49</xdr:row>
      <xdr:rowOff>152400</xdr:rowOff>
    </xdr:to>
    <xdr:sp macro="" textlink="">
      <xdr:nvSpPr>
        <xdr:cNvPr id="6" name="Rectangle 5">
          <a:extLst>
            <a:ext uri="{FF2B5EF4-FFF2-40B4-BE49-F238E27FC236}">
              <a16:creationId xmlns:a16="http://schemas.microsoft.com/office/drawing/2014/main" id="{FA759A92-D38D-43B0-B9F3-C4733E50F5AE}"/>
            </a:ext>
          </a:extLst>
        </xdr:cNvPr>
        <xdr:cNvSpPr/>
      </xdr:nvSpPr>
      <xdr:spPr>
        <a:xfrm>
          <a:off x="3019425" y="1371600"/>
          <a:ext cx="6334125" cy="7191375"/>
        </a:xfrm>
        <a:prstGeom prst="rect">
          <a:avLst/>
        </a:prstGeom>
        <a:solidFill>
          <a:srgbClr val="262D47">
            <a:alpha val="5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8</xdr:row>
      <xdr:rowOff>19050</xdr:rowOff>
    </xdr:from>
    <xdr:to>
      <xdr:col>8</xdr:col>
      <xdr:colOff>3286125</xdr:colOff>
      <xdr:row>21</xdr:row>
      <xdr:rowOff>104775</xdr:rowOff>
    </xdr:to>
    <xdr:sp macro="" textlink="">
      <xdr:nvSpPr>
        <xdr:cNvPr id="7" name="Rectangle 6">
          <a:extLst>
            <a:ext uri="{FF2B5EF4-FFF2-40B4-BE49-F238E27FC236}">
              <a16:creationId xmlns:a16="http://schemas.microsoft.com/office/drawing/2014/main" id="{8E96069A-4706-4BCC-8866-891983EA32A2}"/>
            </a:ext>
          </a:extLst>
        </xdr:cNvPr>
        <xdr:cNvSpPr/>
      </xdr:nvSpPr>
      <xdr:spPr>
        <a:xfrm>
          <a:off x="9534525" y="1400175"/>
          <a:ext cx="5019675" cy="2314575"/>
        </a:xfrm>
        <a:prstGeom prst="rect">
          <a:avLst/>
        </a:prstGeom>
        <a:solidFill>
          <a:srgbClr val="262D47">
            <a:alpha val="5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3476624</xdr:colOff>
      <xdr:row>8</xdr:row>
      <xdr:rowOff>1</xdr:rowOff>
    </xdr:from>
    <xdr:to>
      <xdr:col>11</xdr:col>
      <xdr:colOff>228599</xdr:colOff>
      <xdr:row>21</xdr:row>
      <xdr:rowOff>95251</xdr:rowOff>
    </xdr:to>
    <xdr:sp macro="" textlink="Support!D13">
      <xdr:nvSpPr>
        <xdr:cNvPr id="8" name="Rectangle 7">
          <a:extLst>
            <a:ext uri="{FF2B5EF4-FFF2-40B4-BE49-F238E27FC236}">
              <a16:creationId xmlns:a16="http://schemas.microsoft.com/office/drawing/2014/main" id="{3A612F92-F4DD-4E51-AEF7-965A4677FFF7}"/>
            </a:ext>
          </a:extLst>
        </xdr:cNvPr>
        <xdr:cNvSpPr/>
      </xdr:nvSpPr>
      <xdr:spPr>
        <a:xfrm>
          <a:off x="14744699" y="1381126"/>
          <a:ext cx="3076575" cy="2324100"/>
        </a:xfrm>
        <a:prstGeom prst="rect">
          <a:avLst/>
        </a:prstGeom>
        <a:solidFill>
          <a:srgbClr val="262D47">
            <a:alpha val="5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6600">
            <a:solidFill>
              <a:srgbClr val="96A1CA"/>
            </a:solidFill>
            <a:latin typeface="Century Gothic" panose="020B0502020202020204" pitchFamily="34" charset="0"/>
          </a:endParaRPr>
        </a:p>
      </xdr:txBody>
    </xdr:sp>
    <xdr:clientData/>
  </xdr:twoCellAnchor>
  <xdr:twoCellAnchor>
    <xdr:from>
      <xdr:col>7</xdr:col>
      <xdr:colOff>19050</xdr:colOff>
      <xdr:row>22</xdr:row>
      <xdr:rowOff>133349</xdr:rowOff>
    </xdr:from>
    <xdr:to>
      <xdr:col>11</xdr:col>
      <xdr:colOff>228600</xdr:colOff>
      <xdr:row>50</xdr:row>
      <xdr:rowOff>9524</xdr:rowOff>
    </xdr:to>
    <xdr:sp macro="" textlink="">
      <xdr:nvSpPr>
        <xdr:cNvPr id="9" name="Rectangle 8">
          <a:extLst>
            <a:ext uri="{FF2B5EF4-FFF2-40B4-BE49-F238E27FC236}">
              <a16:creationId xmlns:a16="http://schemas.microsoft.com/office/drawing/2014/main" id="{27FB060F-5B0E-4874-8FDB-7498158EA154}"/>
            </a:ext>
          </a:extLst>
        </xdr:cNvPr>
        <xdr:cNvSpPr/>
      </xdr:nvSpPr>
      <xdr:spPr>
        <a:xfrm>
          <a:off x="9534525" y="3914774"/>
          <a:ext cx="8286750" cy="4676775"/>
        </a:xfrm>
        <a:prstGeom prst="rect">
          <a:avLst/>
        </a:prstGeom>
        <a:solidFill>
          <a:srgbClr val="262D47">
            <a:alpha val="5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114300</xdr:colOff>
      <xdr:row>12</xdr:row>
      <xdr:rowOff>123825</xdr:rowOff>
    </xdr:from>
    <xdr:to>
      <xdr:col>10</xdr:col>
      <xdr:colOff>180975</xdr:colOff>
      <xdr:row>19</xdr:row>
      <xdr:rowOff>104774</xdr:rowOff>
    </xdr:to>
    <xdr:sp macro="" textlink="Support!D13">
      <xdr:nvSpPr>
        <xdr:cNvPr id="12" name="TextBox 11">
          <a:extLst>
            <a:ext uri="{FF2B5EF4-FFF2-40B4-BE49-F238E27FC236}">
              <a16:creationId xmlns:a16="http://schemas.microsoft.com/office/drawing/2014/main" id="{8FB6AABC-58F2-425C-9B16-1FED525D8A5E}"/>
            </a:ext>
          </a:extLst>
        </xdr:cNvPr>
        <xdr:cNvSpPr txBox="1"/>
      </xdr:nvSpPr>
      <xdr:spPr>
        <a:xfrm>
          <a:off x="15621000" y="2190750"/>
          <a:ext cx="1495425" cy="1181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9698FF-0B97-427D-979B-7E0BB273E348}" type="TxLink">
            <a:rPr lang="en-US" sz="7200" b="0" i="0" u="none" strike="noStrike">
              <a:solidFill>
                <a:srgbClr val="96A1CA"/>
              </a:solidFill>
              <a:latin typeface="Courier New" panose="02070309020205020404" pitchFamily="49" charset="0"/>
              <a:cs typeface="Courier New" panose="02070309020205020404" pitchFamily="49" charset="0"/>
            </a:rPr>
            <a:pPr algn="ctr"/>
            <a:t>16</a:t>
          </a:fld>
          <a:endParaRPr lang="en-US" sz="9600">
            <a:solidFill>
              <a:srgbClr val="96A1CA"/>
            </a:solidFill>
            <a:latin typeface="Courier New" panose="02070309020205020404" pitchFamily="49" charset="0"/>
            <a:cs typeface="Courier New" panose="02070309020205020404" pitchFamily="49" charset="0"/>
          </a:endParaRPr>
        </a:p>
      </xdr:txBody>
    </xdr:sp>
    <xdr:clientData/>
  </xdr:twoCellAnchor>
  <xdr:twoCellAnchor editAs="oneCell">
    <xdr:from>
      <xdr:col>9</xdr:col>
      <xdr:colOff>266700</xdr:colOff>
      <xdr:row>23</xdr:row>
      <xdr:rowOff>110180</xdr:rowOff>
    </xdr:from>
    <xdr:to>
      <xdr:col>10</xdr:col>
      <xdr:colOff>581025</xdr:colOff>
      <xdr:row>26</xdr:row>
      <xdr:rowOff>11872</xdr:rowOff>
    </xdr:to>
    <xdr:pic>
      <xdr:nvPicPr>
        <xdr:cNvPr id="15" name="Picture 14">
          <a:extLst>
            <a:ext uri="{FF2B5EF4-FFF2-40B4-BE49-F238E27FC236}">
              <a16:creationId xmlns:a16="http://schemas.microsoft.com/office/drawing/2014/main" id="{F1E8F54E-33A9-4723-8D8A-1AB8BD08D0D1}"/>
            </a:ext>
          </a:extLst>
        </xdr:cNvPr>
        <xdr:cNvPicPr>
          <a:picLocks noChangeAspect="1"/>
        </xdr:cNvPicPr>
      </xdr:nvPicPr>
      <xdr:blipFill>
        <a:blip xmlns:r="http://schemas.openxmlformats.org/officeDocument/2006/relationships" r:embed="rId2"/>
        <a:stretch>
          <a:fillRect/>
        </a:stretch>
      </xdr:blipFill>
      <xdr:spPr>
        <a:xfrm>
          <a:off x="15773400" y="4063055"/>
          <a:ext cx="1743075" cy="416042"/>
        </a:xfrm>
        <a:prstGeom prst="rect">
          <a:avLst/>
        </a:prstGeom>
      </xdr:spPr>
    </xdr:pic>
    <xdr:clientData/>
  </xdr:twoCellAnchor>
  <xdr:twoCellAnchor editAs="oneCell">
    <xdr:from>
      <xdr:col>8</xdr:col>
      <xdr:colOff>4038599</xdr:colOff>
      <xdr:row>9</xdr:row>
      <xdr:rowOff>11508</xdr:rowOff>
    </xdr:from>
    <xdr:to>
      <xdr:col>10</xdr:col>
      <xdr:colOff>590550</xdr:colOff>
      <xdr:row>11</xdr:row>
      <xdr:rowOff>78547</xdr:rowOff>
    </xdr:to>
    <xdr:pic>
      <xdr:nvPicPr>
        <xdr:cNvPr id="16" name="Picture 15">
          <a:extLst>
            <a:ext uri="{FF2B5EF4-FFF2-40B4-BE49-F238E27FC236}">
              <a16:creationId xmlns:a16="http://schemas.microsoft.com/office/drawing/2014/main" id="{518470EC-6DC5-4443-B9FC-C92983E87DEB}"/>
            </a:ext>
          </a:extLst>
        </xdr:cNvPr>
        <xdr:cNvPicPr>
          <a:picLocks noChangeAspect="1"/>
        </xdr:cNvPicPr>
      </xdr:nvPicPr>
      <xdr:blipFill>
        <a:blip xmlns:r="http://schemas.openxmlformats.org/officeDocument/2006/relationships" r:embed="rId3"/>
        <a:stretch>
          <a:fillRect/>
        </a:stretch>
      </xdr:blipFill>
      <xdr:spPr>
        <a:xfrm>
          <a:off x="15306674" y="1564083"/>
          <a:ext cx="2219326" cy="409939"/>
        </a:xfrm>
        <a:prstGeom prst="rect">
          <a:avLst/>
        </a:prstGeom>
      </xdr:spPr>
    </xdr:pic>
    <xdr:clientData/>
  </xdr:twoCellAnchor>
  <xdr:twoCellAnchor>
    <xdr:from>
      <xdr:col>7</xdr:col>
      <xdr:colOff>85724</xdr:colOff>
      <xdr:row>26</xdr:row>
      <xdr:rowOff>47624</xdr:rowOff>
    </xdr:from>
    <xdr:to>
      <xdr:col>11</xdr:col>
      <xdr:colOff>171450</xdr:colOff>
      <xdr:row>49</xdr:row>
      <xdr:rowOff>38099</xdr:rowOff>
    </xdr:to>
    <xdr:graphicFrame macro="">
      <xdr:nvGraphicFramePr>
        <xdr:cNvPr id="17" name="Chart 16">
          <a:extLst>
            <a:ext uri="{FF2B5EF4-FFF2-40B4-BE49-F238E27FC236}">
              <a16:creationId xmlns:a16="http://schemas.microsoft.com/office/drawing/2014/main" id="{BEC7CF02-A9A0-435B-BA94-D881D4CBE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47625</xdr:colOff>
      <xdr:row>12</xdr:row>
      <xdr:rowOff>123825</xdr:rowOff>
    </xdr:from>
    <xdr:to>
      <xdr:col>8</xdr:col>
      <xdr:colOff>3248025</xdr:colOff>
      <xdr:row>21</xdr:row>
      <xdr:rowOff>47623</xdr:rowOff>
    </xdr:to>
    <xdr:graphicFrame macro="">
      <xdr:nvGraphicFramePr>
        <xdr:cNvPr id="18" name="Chart 17">
          <a:extLst>
            <a:ext uri="{FF2B5EF4-FFF2-40B4-BE49-F238E27FC236}">
              <a16:creationId xmlns:a16="http://schemas.microsoft.com/office/drawing/2014/main" id="{2B27CF26-AAF3-48B5-9720-4341C5E25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695731</xdr:colOff>
      <xdr:row>9</xdr:row>
      <xdr:rowOff>5547</xdr:rowOff>
    </xdr:from>
    <xdr:to>
      <xdr:col>8</xdr:col>
      <xdr:colOff>2952345</xdr:colOff>
      <xdr:row>11</xdr:row>
      <xdr:rowOff>77492</xdr:rowOff>
    </xdr:to>
    <xdr:pic>
      <xdr:nvPicPr>
        <xdr:cNvPr id="19" name="Picture 18">
          <a:extLst>
            <a:ext uri="{FF2B5EF4-FFF2-40B4-BE49-F238E27FC236}">
              <a16:creationId xmlns:a16="http://schemas.microsoft.com/office/drawing/2014/main" id="{A265CE50-8D7C-426C-B6B0-FEB7222AB949}"/>
            </a:ext>
          </a:extLst>
        </xdr:cNvPr>
        <xdr:cNvPicPr>
          <a:picLocks noChangeAspect="1"/>
        </xdr:cNvPicPr>
      </xdr:nvPicPr>
      <xdr:blipFill>
        <a:blip xmlns:r="http://schemas.openxmlformats.org/officeDocument/2006/relationships" r:embed="rId6"/>
        <a:stretch>
          <a:fillRect/>
        </a:stretch>
      </xdr:blipFill>
      <xdr:spPr>
        <a:xfrm>
          <a:off x="11963806" y="1558122"/>
          <a:ext cx="2256614" cy="414845"/>
        </a:xfrm>
        <a:prstGeom prst="rect">
          <a:avLst/>
        </a:prstGeom>
      </xdr:spPr>
    </xdr:pic>
    <xdr:clientData/>
  </xdr:twoCellAnchor>
  <xdr:twoCellAnchor>
    <xdr:from>
      <xdr:col>2</xdr:col>
      <xdr:colOff>962025</xdr:colOff>
      <xdr:row>11</xdr:row>
      <xdr:rowOff>171449</xdr:rowOff>
    </xdr:from>
    <xdr:to>
      <xdr:col>6</xdr:col>
      <xdr:colOff>1095375</xdr:colOff>
      <xdr:row>47</xdr:row>
      <xdr:rowOff>161924</xdr:rowOff>
    </xdr:to>
    <xdr:graphicFrame macro="">
      <xdr:nvGraphicFramePr>
        <xdr:cNvPr id="21" name="Chart 20">
          <a:extLst>
            <a:ext uri="{FF2B5EF4-FFF2-40B4-BE49-F238E27FC236}">
              <a16:creationId xmlns:a16="http://schemas.microsoft.com/office/drawing/2014/main" id="{ED5E3D19-D61A-4E22-A70C-6D3084131F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5</xdr:col>
      <xdr:colOff>672917</xdr:colOff>
      <xdr:row>9</xdr:row>
      <xdr:rowOff>33946</xdr:rowOff>
    </xdr:from>
    <xdr:to>
      <xdr:col>6</xdr:col>
      <xdr:colOff>765358</xdr:colOff>
      <xdr:row>11</xdr:row>
      <xdr:rowOff>104776</xdr:rowOff>
    </xdr:to>
    <xdr:pic>
      <xdr:nvPicPr>
        <xdr:cNvPr id="22" name="Picture 21">
          <a:extLst>
            <a:ext uri="{FF2B5EF4-FFF2-40B4-BE49-F238E27FC236}">
              <a16:creationId xmlns:a16="http://schemas.microsoft.com/office/drawing/2014/main" id="{51A6DB7C-EB66-4788-84FF-38E1E890D37F}"/>
            </a:ext>
          </a:extLst>
        </xdr:cNvPr>
        <xdr:cNvPicPr>
          <a:picLocks noChangeAspect="1"/>
        </xdr:cNvPicPr>
      </xdr:nvPicPr>
      <xdr:blipFill>
        <a:blip xmlns:r="http://schemas.openxmlformats.org/officeDocument/2006/relationships" r:embed="rId8"/>
        <a:stretch>
          <a:fillRect/>
        </a:stretch>
      </xdr:blipFill>
      <xdr:spPr>
        <a:xfrm>
          <a:off x="7921442" y="1586521"/>
          <a:ext cx="1102091" cy="413730"/>
        </a:xfrm>
        <a:prstGeom prst="rect">
          <a:avLst/>
        </a:prstGeom>
      </xdr:spPr>
    </xdr:pic>
    <xdr:clientData/>
  </xdr:twoCellAnchor>
  <xdr:twoCellAnchor editAs="oneCell">
    <xdr:from>
      <xdr:col>0</xdr:col>
      <xdr:colOff>228599</xdr:colOff>
      <xdr:row>22</xdr:row>
      <xdr:rowOff>104775</xdr:rowOff>
    </xdr:from>
    <xdr:to>
      <xdr:col>2</xdr:col>
      <xdr:colOff>771525</xdr:colOff>
      <xdr:row>49</xdr:row>
      <xdr:rowOff>161925</xdr:rowOff>
    </xdr:to>
    <mc:AlternateContent xmlns:mc="http://schemas.openxmlformats.org/markup-compatibility/2006" xmlns:a14="http://schemas.microsoft.com/office/drawing/2010/main">
      <mc:Choice Requires="a14">
        <xdr:graphicFrame macro="">
          <xdr:nvGraphicFramePr>
            <xdr:cNvPr id="25" name="Name">
              <a:extLst>
                <a:ext uri="{FF2B5EF4-FFF2-40B4-BE49-F238E27FC236}">
                  <a16:creationId xmlns:a16="http://schemas.microsoft.com/office/drawing/2014/main" id="{DAE77D1D-B3C1-4484-9E40-1DD46DEB79B7}"/>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228599" y="3886200"/>
              <a:ext cx="2771776" cy="468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257175</xdr:colOff>
      <xdr:row>7</xdr:row>
      <xdr:rowOff>161925</xdr:rowOff>
    </xdr:from>
    <xdr:to>
      <xdr:col>2</xdr:col>
      <xdr:colOff>790575</xdr:colOff>
      <xdr:row>22</xdr:row>
      <xdr:rowOff>57150</xdr:rowOff>
    </xdr:to>
    <mc:AlternateContent xmlns:mc="http://schemas.openxmlformats.org/markup-compatibility/2006" xmlns:a14="http://schemas.microsoft.com/office/drawing/2010/main">
      <mc:Choice Requires="a14">
        <xdr:graphicFrame macro="">
          <xdr:nvGraphicFramePr>
            <xdr:cNvPr id="23" name="Project Name">
              <a:extLst>
                <a:ext uri="{FF2B5EF4-FFF2-40B4-BE49-F238E27FC236}">
                  <a16:creationId xmlns:a16="http://schemas.microsoft.com/office/drawing/2014/main" id="{C9BAD147-BCEC-4D97-923B-392C9291C869}"/>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257175" y="1371600"/>
              <a:ext cx="27622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695325</xdr:colOff>
      <xdr:row>3</xdr:row>
      <xdr:rowOff>161924</xdr:rowOff>
    </xdr:to>
    <xdr:sp macro="" textlink="">
      <xdr:nvSpPr>
        <xdr:cNvPr id="2" name="Rectangle 1">
          <a:extLst>
            <a:ext uri="{FF2B5EF4-FFF2-40B4-BE49-F238E27FC236}">
              <a16:creationId xmlns:a16="http://schemas.microsoft.com/office/drawing/2014/main" id="{4FAC1555-09C4-4DA0-B76F-5A22532EF4D2}"/>
            </a:ext>
          </a:extLst>
        </xdr:cNvPr>
        <xdr:cNvSpPr/>
      </xdr:nvSpPr>
      <xdr:spPr>
        <a:xfrm>
          <a:off x="0" y="0"/>
          <a:ext cx="30422850" cy="67627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828675</xdr:colOff>
      <xdr:row>5</xdr:row>
      <xdr:rowOff>54629</xdr:rowOff>
    </xdr:to>
    <xdr:pic>
      <xdr:nvPicPr>
        <xdr:cNvPr id="6" name="Picture 5">
          <a:extLst>
            <a:ext uri="{FF2B5EF4-FFF2-40B4-BE49-F238E27FC236}">
              <a16:creationId xmlns:a16="http://schemas.microsoft.com/office/drawing/2014/main" id="{C6730632-E5B9-4B2F-8463-24C378469D58}"/>
            </a:ext>
          </a:extLst>
        </xdr:cNvPr>
        <xdr:cNvPicPr>
          <a:picLocks noChangeAspect="1"/>
        </xdr:cNvPicPr>
      </xdr:nvPicPr>
      <xdr:blipFill>
        <a:blip xmlns:r="http://schemas.openxmlformats.org/officeDocument/2006/relationships" r:embed="rId1"/>
        <a:stretch>
          <a:fillRect/>
        </a:stretch>
      </xdr:blipFill>
      <xdr:spPr>
        <a:xfrm>
          <a:off x="0" y="0"/>
          <a:ext cx="2409825" cy="921404"/>
        </a:xfrm>
        <a:prstGeom prst="rect">
          <a:avLst/>
        </a:prstGeom>
      </xdr:spPr>
    </xdr:pic>
    <xdr:clientData/>
  </xdr:twoCellAnchor>
  <xdr:twoCellAnchor>
    <xdr:from>
      <xdr:col>0</xdr:col>
      <xdr:colOff>0</xdr:colOff>
      <xdr:row>3</xdr:row>
      <xdr:rowOff>158111</xdr:rowOff>
    </xdr:from>
    <xdr:to>
      <xdr:col>16</xdr:col>
      <xdr:colOff>1133475</xdr:colOff>
      <xdr:row>4</xdr:row>
      <xdr:rowOff>14093</xdr:rowOff>
    </xdr:to>
    <xdr:sp macro="" textlink="">
      <xdr:nvSpPr>
        <xdr:cNvPr id="3" name="Rectangle 2">
          <a:extLst>
            <a:ext uri="{FF2B5EF4-FFF2-40B4-BE49-F238E27FC236}">
              <a16:creationId xmlns:a16="http://schemas.microsoft.com/office/drawing/2014/main" id="{032F6711-3972-4424-9B37-F4BD3D488C41}"/>
            </a:ext>
          </a:extLst>
        </xdr:cNvPr>
        <xdr:cNvSpPr/>
      </xdr:nvSpPr>
      <xdr:spPr>
        <a:xfrm>
          <a:off x="0" y="672461"/>
          <a:ext cx="23774400" cy="27432"/>
        </a:xfrm>
        <a:prstGeom prst="rect">
          <a:avLst/>
        </a:prstGeom>
        <a:solidFill>
          <a:srgbClr val="2A33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faela Polanski" refreshedDate="43667.842138773151" createdVersion="6" refreshedVersion="6" minRefreshableVersion="3" recordCount="16" xr:uid="{C06C9F2C-FE22-4B5C-BCF8-8BC92F05E74E}">
  <cacheSource type="worksheet">
    <worksheetSource name="Table1"/>
  </cacheSource>
  <cacheFields count="12">
    <cacheField name="Name" numFmtId="0">
      <sharedItems containsBlank="1" count="35">
        <s v="Kevin Bogoush"/>
        <s v="William Kulju"/>
        <s v="Brian Wood"/>
        <s v="Andy Sanderson"/>
        <s v="Sameer Jagtap"/>
        <s v="Rafaela Polanski"/>
        <s v="Monica Singhal"/>
        <s v="Marva Kinkead"/>
        <s v="Carla" u="1"/>
        <m u="1"/>
        <s v="Amanda" u="1"/>
        <s v="Jaqueline" u="1"/>
        <s v="Nayara" u="1"/>
        <s v="Alessandro" u="1"/>
        <s v="Marcio" u="1"/>
        <s v="Dalva" u="1"/>
        <s v="Rafaela" u="1"/>
        <s v="Marcos" u="1"/>
        <s v="Mai" u="1"/>
        <s v="Maria" u="1"/>
        <s v="Joao" u="1"/>
        <s v="Geso" u="1"/>
        <s v="Gabi" u="1"/>
        <s v="Rafael" u="1"/>
        <s v="Heloisa" u="1"/>
        <s v="Leticia" u="1"/>
        <s v="Ingrity" u="1"/>
        <s v="Leia" u="1"/>
        <s v="Denise" u="1"/>
        <s v="Daniela" u="1"/>
        <s v="Sara" u="1"/>
        <s v="Edina" u="1"/>
        <s v="Terry" u="1"/>
        <s v="Alexandre" u="1"/>
        <s v="Ana" u="1"/>
      </sharedItems>
    </cacheField>
    <cacheField name="e-mail" numFmtId="0">
      <sharedItems/>
    </cacheField>
    <cacheField name="Phone" numFmtId="0">
      <sharedItems/>
    </cacheField>
    <cacheField name="Preferred method of contact" numFmtId="0">
      <sharedItems/>
    </cacheField>
    <cacheField name="Project Name" numFmtId="0">
      <sharedItems containsBlank="1" count="4">
        <s v="Project X"/>
        <s v="Project Y"/>
        <s v="Project Z"/>
        <m u="1"/>
      </sharedItems>
    </cacheField>
    <cacheField name="Level of power" numFmtId="1">
      <sharedItems containsSemiMixedTypes="0" containsString="0" containsNumber="1" containsInteger="1" minValue="1" maxValue="3"/>
    </cacheField>
    <cacheField name="Level of interested" numFmtId="1">
      <sharedItems containsSemiMixedTypes="0" containsString="0" containsNumber="1" containsInteger="1" minValue="1" maxValue="3"/>
    </cacheField>
    <cacheField name="Information be distribution" numFmtId="0">
      <sharedItems/>
    </cacheField>
    <cacheField name="Type of information" numFmtId="0">
      <sharedItems/>
    </cacheField>
    <cacheField name="Frequency" numFmtId="0">
      <sharedItems count="6">
        <s v="Monthly"/>
        <s v="Only when requested"/>
        <s v="Biweekly"/>
        <s v="Weekly"/>
        <s v="Daily"/>
        <b v="0" u="1"/>
      </sharedItems>
    </cacheField>
    <cacheField name="Interation" numFmtId="1">
      <sharedItems containsSemiMixedTypes="0" containsString="0" containsNumber="1" containsInteger="1" minValue="2" maxValue="6"/>
    </cacheField>
    <cacheField name="LET" numFmtId="0">
      <sharedItems containsBlank="1" count="6">
        <s v="Less Interation"/>
        <s v="No Interation"/>
        <s v="Medium Interation"/>
        <s v="Some Interation"/>
        <s v="High Interation"/>
        <m u="1"/>
      </sharedItems>
    </cacheField>
  </cacheFields>
  <extLst>
    <ext xmlns:x14="http://schemas.microsoft.com/office/spreadsheetml/2009/9/main" uri="{725AE2AE-9491-48be-B2B4-4EB974FC3084}">
      <x14:pivotCacheDefinition pivotCacheId="13464210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s v="kevin.bogoush@cifron.com"/>
    <s v="832-6239656"/>
    <s v="Email &amp; Phone"/>
    <x v="0"/>
    <n v="2"/>
    <n v="1"/>
    <s v="e-mail"/>
    <s v="Monthly Dashboard and Only if extremely necessary for meetings"/>
    <x v="0"/>
    <n v="3"/>
    <x v="0"/>
  </r>
  <r>
    <x v="1"/>
    <s v="william.kulju@cifron.com"/>
    <s v="832-6239656"/>
    <s v="Email &amp; In person meeting"/>
    <x v="0"/>
    <n v="1"/>
    <n v="1"/>
    <s v="e-mail"/>
    <s v="Only when requested"/>
    <x v="1"/>
    <n v="2"/>
    <x v="1"/>
  </r>
  <r>
    <x v="2"/>
    <s v="brian.wood@cifron.com"/>
    <s v="832-6239656"/>
    <s v="Phone &amp; In person meeting &amp; Virtual meeting"/>
    <x v="1"/>
    <n v="3"/>
    <n v="1"/>
    <s v="e-mail"/>
    <s v="Biweekly Dashboard and Monthly meetings"/>
    <x v="2"/>
    <n v="4"/>
    <x v="2"/>
  </r>
  <r>
    <x v="3"/>
    <s v="andy.sanderson@cifron.com"/>
    <s v="832-6239656"/>
    <s v="Phone &amp; Virtual meeting"/>
    <x v="2"/>
    <n v="1"/>
    <n v="1"/>
    <s v="e-mail"/>
    <s v="Only when requested"/>
    <x v="1"/>
    <n v="2"/>
    <x v="1"/>
  </r>
  <r>
    <x v="4"/>
    <s v="sameer.jagtap@cifron.com"/>
    <s v="832-6239656"/>
    <s v="Phone"/>
    <x v="2"/>
    <n v="2"/>
    <n v="2"/>
    <s v="Phone"/>
    <s v="Biweekly Dashboard and Monthly meetings"/>
    <x v="2"/>
    <n v="4"/>
    <x v="2"/>
  </r>
  <r>
    <x v="0"/>
    <s v="kevin.bogoush@cifron.com"/>
    <s v="832-6239656"/>
    <s v="Email &amp; Phone"/>
    <x v="2"/>
    <n v="2"/>
    <n v="1"/>
    <s v="e-mail"/>
    <s v="Monthly Dashboard and Only if extremely necessary for meetings"/>
    <x v="0"/>
    <n v="3"/>
    <x v="0"/>
  </r>
  <r>
    <x v="1"/>
    <s v="william.kulju@cifron.com"/>
    <s v="832-6239656"/>
    <s v="In person meeting &amp; Virtual meeting"/>
    <x v="1"/>
    <n v="1"/>
    <n v="1"/>
    <s v="Virtual meeting"/>
    <s v="Only when requested"/>
    <x v="1"/>
    <n v="2"/>
    <x v="1"/>
  </r>
  <r>
    <x v="5"/>
    <s v="rafaela.polanski@cifron.com"/>
    <s v="832-6239656"/>
    <s v="Phone"/>
    <x v="0"/>
    <n v="3"/>
    <n v="2"/>
    <s v="Phone"/>
    <s v="Weekly Dashboard and Biweekly meetings"/>
    <x v="3"/>
    <n v="5"/>
    <x v="3"/>
  </r>
  <r>
    <x v="6"/>
    <s v="monica.sighal@cifron.com"/>
    <s v="832-6239656"/>
    <s v="Email &amp; Phone"/>
    <x v="0"/>
    <n v="3"/>
    <n v="1"/>
    <s v="e-mail"/>
    <s v="Biweekly Dashboard and Monthly meetings"/>
    <x v="2"/>
    <n v="4"/>
    <x v="2"/>
  </r>
  <r>
    <x v="7"/>
    <s v="marva.kinkead@cifron.com"/>
    <s v="832-6239656"/>
    <s v="In person meeting &amp; Virtual meeting"/>
    <x v="0"/>
    <n v="3"/>
    <n v="3"/>
    <s v="In person meeting"/>
    <s v="Daily follow up - Weekly meetings"/>
    <x v="4"/>
    <n v="6"/>
    <x v="4"/>
  </r>
  <r>
    <x v="5"/>
    <s v="rafaela.polanski@cifron.com"/>
    <s v="832-6239656"/>
    <s v="Phone"/>
    <x v="1"/>
    <n v="2"/>
    <n v="2"/>
    <s v="Phone"/>
    <s v="Biweekly Dashboard and Monthly meetings"/>
    <x v="2"/>
    <n v="4"/>
    <x v="2"/>
  </r>
  <r>
    <x v="6"/>
    <s v="monica.sighal@cifron.com"/>
    <s v="832-6239656"/>
    <s v="Email &amp; Phone"/>
    <x v="1"/>
    <n v="2"/>
    <n v="1"/>
    <s v="e-mail"/>
    <s v="Monthly Dashboard and Only if extremely necessary for meetings"/>
    <x v="0"/>
    <n v="3"/>
    <x v="0"/>
  </r>
  <r>
    <x v="7"/>
    <s v="marva.kinkead@cifron.com"/>
    <s v="832-6239656"/>
    <s v="In person meeting &amp; Virtual meeting"/>
    <x v="1"/>
    <n v="2"/>
    <n v="3"/>
    <s v="Virtual meeting"/>
    <s v="Weekly Dashboard and Biweekly meetings"/>
    <x v="3"/>
    <n v="5"/>
    <x v="3"/>
  </r>
  <r>
    <x v="5"/>
    <s v="rafaela.polanski@cifron.com"/>
    <s v="832-6239656"/>
    <s v="Phone"/>
    <x v="2"/>
    <n v="1"/>
    <n v="1"/>
    <s v="Phone"/>
    <s v="Only when requested"/>
    <x v="1"/>
    <n v="2"/>
    <x v="1"/>
  </r>
  <r>
    <x v="6"/>
    <s v="monica.sighal@cifron.com"/>
    <s v="832-6239656"/>
    <s v="Email &amp; Phone"/>
    <x v="2"/>
    <n v="1"/>
    <n v="1"/>
    <s v="e-mail"/>
    <s v="Only when requested"/>
    <x v="1"/>
    <n v="2"/>
    <x v="1"/>
  </r>
  <r>
    <x v="7"/>
    <s v="marva.kinkead@cifron.com"/>
    <s v="832-6239656"/>
    <s v="In person meeting &amp; Virtual meeting"/>
    <x v="2"/>
    <n v="1"/>
    <n v="1"/>
    <s v="Virtual meeting"/>
    <s v="Only when requested"/>
    <x v="1"/>
    <n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A1CD58-BDCE-430D-BF84-3DF28CB4C513}"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12:C13" firstHeaderRow="1" firstDataRow="1" firstDataCol="0"/>
  <pivotFields count="12">
    <pivotField dataField="1" showAll="0">
      <items count="36">
        <item m="1" x="13"/>
        <item m="1" x="33"/>
        <item m="1" x="10"/>
        <item m="1" x="34"/>
        <item x="3"/>
        <item x="2"/>
        <item m="1" x="8"/>
        <item m="1" x="15"/>
        <item m="1" x="29"/>
        <item m="1" x="28"/>
        <item m="1" x="31"/>
        <item m="1" x="22"/>
        <item m="1" x="21"/>
        <item m="1" x="24"/>
        <item m="1" x="26"/>
        <item m="1" x="11"/>
        <item m="1" x="20"/>
        <item x="0"/>
        <item m="1" x="27"/>
        <item m="1" x="25"/>
        <item m="1" x="18"/>
        <item m="1" x="14"/>
        <item m="1" x="17"/>
        <item m="1" x="19"/>
        <item x="7"/>
        <item x="6"/>
        <item m="1" x="12"/>
        <item m="1" x="23"/>
        <item m="1" x="16"/>
        <item x="5"/>
        <item x="4"/>
        <item m="1" x="30"/>
        <item m="1" x="32"/>
        <item x="1"/>
        <item m="1" x="9"/>
        <item t="default"/>
      </items>
    </pivotField>
    <pivotField showAll="0"/>
    <pivotField showAll="0"/>
    <pivotField showAll="0"/>
    <pivotField showAll="0">
      <items count="5">
        <item x="0"/>
        <item x="1"/>
        <item x="2"/>
        <item m="1" x="3"/>
        <item t="default"/>
      </items>
    </pivotField>
    <pivotField numFmtId="1" showAll="0"/>
    <pivotField numFmtId="1" showAll="0"/>
    <pivotField showAll="0"/>
    <pivotField showAll="0"/>
    <pivotField showAll="0"/>
    <pivotField numFmtId="1" showAll="0"/>
    <pivotField showAll="0"/>
  </pivotFields>
  <rowItems count="1">
    <i/>
  </rowItems>
  <colItems count="1">
    <i/>
  </colItems>
  <dataFields count="1">
    <dataField name="Count of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6E2EAF-109A-4DDB-8C3C-3E7D52A57CDD}" name="PivotTable4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F26:G32" firstHeaderRow="1" firstDataRow="1" firstDataCol="1"/>
  <pivotFields count="12">
    <pivotField dataField="1" showAll="0">
      <items count="36">
        <item m="1" x="13"/>
        <item m="1" x="33"/>
        <item m="1" x="10"/>
        <item m="1" x="34"/>
        <item x="3"/>
        <item x="2"/>
        <item m="1" x="8"/>
        <item m="1" x="15"/>
        <item m="1" x="29"/>
        <item m="1" x="28"/>
        <item m="1" x="31"/>
        <item m="1" x="22"/>
        <item m="1" x="21"/>
        <item m="1" x="24"/>
        <item m="1" x="26"/>
        <item m="1" x="11"/>
        <item m="1" x="20"/>
        <item x="0"/>
        <item m="1" x="27"/>
        <item m="1" x="25"/>
        <item m="1" x="18"/>
        <item m="1" x="14"/>
        <item m="1" x="17"/>
        <item m="1" x="19"/>
        <item x="7"/>
        <item x="6"/>
        <item m="1" x="12"/>
        <item m="1" x="23"/>
        <item m="1" x="16"/>
        <item x="5"/>
        <item x="4"/>
        <item m="1" x="30"/>
        <item m="1" x="32"/>
        <item x="1"/>
        <item m="1" x="9"/>
        <item t="default"/>
      </items>
    </pivotField>
    <pivotField showAll="0"/>
    <pivotField showAll="0"/>
    <pivotField showAll="0"/>
    <pivotField showAll="0">
      <items count="5">
        <item x="0"/>
        <item x="1"/>
        <item x="2"/>
        <item m="1" x="3"/>
        <item t="default"/>
      </items>
    </pivotField>
    <pivotField numFmtId="1" showAll="0"/>
    <pivotField numFmtId="1" showAll="0"/>
    <pivotField showAll="0"/>
    <pivotField showAll="0"/>
    <pivotField axis="axisRow" showAll="0">
      <items count="7">
        <item x="2"/>
        <item x="4"/>
        <item x="0"/>
        <item x="1"/>
        <item x="3"/>
        <item h="1" m="1" x="5"/>
        <item t="default"/>
      </items>
    </pivotField>
    <pivotField numFmtId="1" showAll="0"/>
    <pivotField showAll="0"/>
  </pivotFields>
  <rowFields count="1">
    <field x="9"/>
  </rowFields>
  <rowItems count="6">
    <i>
      <x/>
    </i>
    <i>
      <x v="1"/>
    </i>
    <i>
      <x v="2"/>
    </i>
    <i>
      <x v="3"/>
    </i>
    <i>
      <x v="4"/>
    </i>
    <i t="grand">
      <x/>
    </i>
  </rowItems>
  <colItems count="1">
    <i/>
  </colItems>
  <dataFields count="1">
    <dataField name="Count of Name" fld="0" subtotal="count" baseField="0" baseItem="0"/>
  </dataFields>
  <chartFormats count="1">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7DF5D8-40B0-4F5B-B4EE-B66BE6804414}"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O18:U23" firstHeaderRow="1" firstDataRow="2" firstDataCol="1"/>
  <pivotFields count="12">
    <pivotField showAll="0"/>
    <pivotField showAll="0"/>
    <pivotField showAll="0"/>
    <pivotField showAll="0"/>
    <pivotField axis="axisRow" showAll="0">
      <items count="5">
        <item x="0"/>
        <item x="1"/>
        <item x="2"/>
        <item m="1" x="3"/>
        <item t="default"/>
      </items>
    </pivotField>
    <pivotField numFmtId="1" showAll="0"/>
    <pivotField numFmtId="1" showAll="0"/>
    <pivotField showAll="0"/>
    <pivotField showAll="0"/>
    <pivotField axis="axisCol" dataField="1" showAll="0">
      <items count="7">
        <item x="2"/>
        <item x="4"/>
        <item x="0"/>
        <item x="1"/>
        <item x="3"/>
        <item m="1" x="5"/>
        <item t="default"/>
      </items>
    </pivotField>
    <pivotField numFmtId="1" showAll="0"/>
    <pivotField showAll="0"/>
  </pivotFields>
  <rowFields count="1">
    <field x="4"/>
  </rowFields>
  <rowItems count="4">
    <i>
      <x/>
    </i>
    <i>
      <x v="1"/>
    </i>
    <i>
      <x v="2"/>
    </i>
    <i t="grand">
      <x/>
    </i>
  </rowItems>
  <colFields count="1">
    <field x="9"/>
  </colFields>
  <colItems count="6">
    <i>
      <x/>
    </i>
    <i>
      <x v="1"/>
    </i>
    <i>
      <x v="2"/>
    </i>
    <i>
      <x v="3"/>
    </i>
    <i>
      <x v="4"/>
    </i>
    <i t="grand">
      <x/>
    </i>
  </colItems>
  <dataFields count="1">
    <dataField name="Count of Frequency"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731AD6-5A62-4786-8E26-6201BDEEB41B}"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K18:L22" firstHeaderRow="1" firstDataRow="1" firstDataCol="1"/>
  <pivotFields count="12">
    <pivotField dataField="1" showAll="0">
      <items count="36">
        <item m="1" x="13"/>
        <item m="1" x="33"/>
        <item m="1" x="10"/>
        <item m="1" x="34"/>
        <item x="3"/>
        <item x="2"/>
        <item m="1" x="8"/>
        <item m="1" x="15"/>
        <item m="1" x="29"/>
        <item m="1" x="28"/>
        <item m="1" x="31"/>
        <item m="1" x="22"/>
        <item m="1" x="21"/>
        <item m="1" x="24"/>
        <item m="1" x="26"/>
        <item m="1" x="11"/>
        <item m="1" x="20"/>
        <item x="0"/>
        <item m="1" x="27"/>
        <item m="1" x="25"/>
        <item m="1" x="18"/>
        <item m="1" x="14"/>
        <item m="1" x="17"/>
        <item m="1" x="19"/>
        <item x="7"/>
        <item x="6"/>
        <item m="1" x="12"/>
        <item m="1" x="23"/>
        <item m="1" x="16"/>
        <item x="5"/>
        <item x="4"/>
        <item m="1" x="30"/>
        <item m="1" x="32"/>
        <item x="1"/>
        <item m="1" x="9"/>
        <item t="default"/>
      </items>
    </pivotField>
    <pivotField showAll="0"/>
    <pivotField showAll="0"/>
    <pivotField showAll="0"/>
    <pivotField axis="axisRow" showAll="0">
      <items count="5">
        <item x="0"/>
        <item x="1"/>
        <item x="2"/>
        <item m="1" x="3"/>
        <item t="default"/>
      </items>
    </pivotField>
    <pivotField numFmtId="1" showAll="0"/>
    <pivotField numFmtId="1" showAll="0"/>
    <pivotField showAll="0"/>
    <pivotField showAll="0"/>
    <pivotField showAll="0"/>
    <pivotField numFmtId="1" showAll="0"/>
    <pivotField showAll="0"/>
  </pivotFields>
  <rowFields count="1">
    <field x="4"/>
  </rowFields>
  <rowItems count="4">
    <i>
      <x/>
    </i>
    <i>
      <x v="1"/>
    </i>
    <i>
      <x v="2"/>
    </i>
    <i t="grand">
      <x/>
    </i>
  </rowItems>
  <colItems count="1">
    <i/>
  </colItems>
  <dataFields count="1">
    <dataField name="Count of Name" fld="0" subtotal="count" baseField="0" baseItem="0"/>
  </dataFields>
  <chartFormats count="4">
    <chartFormat chart="10" format="28" series="1">
      <pivotArea type="data" outline="0" fieldPosition="0">
        <references count="1">
          <reference field="4294967294" count="1" selected="0">
            <x v="0"/>
          </reference>
        </references>
      </pivotArea>
    </chartFormat>
    <chartFormat chart="10" format="29">
      <pivotArea type="data" outline="0" fieldPosition="0">
        <references count="2">
          <reference field="4294967294" count="1" selected="0">
            <x v="0"/>
          </reference>
          <reference field="4" count="1" selected="0">
            <x v="0"/>
          </reference>
        </references>
      </pivotArea>
    </chartFormat>
    <chartFormat chart="10" format="30">
      <pivotArea type="data" outline="0" fieldPosition="0">
        <references count="2">
          <reference field="4294967294" count="1" selected="0">
            <x v="0"/>
          </reference>
          <reference field="4" count="1" selected="0">
            <x v="1"/>
          </reference>
        </references>
      </pivotArea>
    </chartFormat>
    <chartFormat chart="10" format="3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2E69D0-2E93-4FD8-9CE0-F49A9BF66352}"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F12:G18" firstHeaderRow="1" firstDataRow="1" firstDataCol="1"/>
  <pivotFields count="12">
    <pivotField dataField="1" showAll="0">
      <items count="36">
        <item m="1" x="13"/>
        <item m="1" x="33"/>
        <item m="1" x="10"/>
        <item m="1" x="34"/>
        <item x="3"/>
        <item x="2"/>
        <item m="1" x="8"/>
        <item m="1" x="15"/>
        <item m="1" x="29"/>
        <item m="1" x="28"/>
        <item m="1" x="31"/>
        <item m="1" x="22"/>
        <item m="1" x="21"/>
        <item m="1" x="24"/>
        <item m="1" x="26"/>
        <item m="1" x="11"/>
        <item m="1" x="20"/>
        <item x="0"/>
        <item m="1" x="27"/>
        <item m="1" x="25"/>
        <item m="1" x="18"/>
        <item m="1" x="14"/>
        <item m="1" x="17"/>
        <item m="1" x="19"/>
        <item x="7"/>
        <item x="6"/>
        <item m="1" x="12"/>
        <item m="1" x="23"/>
        <item m="1" x="16"/>
        <item x="5"/>
        <item x="4"/>
        <item m="1" x="30"/>
        <item m="1" x="32"/>
        <item x="1"/>
        <item m="1" x="9"/>
        <item t="default"/>
      </items>
    </pivotField>
    <pivotField showAll="0"/>
    <pivotField showAll="0"/>
    <pivotField showAll="0"/>
    <pivotField showAll="0">
      <items count="5">
        <item x="0"/>
        <item x="1"/>
        <item x="2"/>
        <item m="1" x="3"/>
        <item t="default"/>
      </items>
    </pivotField>
    <pivotField numFmtId="1" showAll="0"/>
    <pivotField numFmtId="1" showAll="0"/>
    <pivotField showAll="0"/>
    <pivotField showAll="0"/>
    <pivotField showAll="0"/>
    <pivotField numFmtId="1" showAll="0"/>
    <pivotField axis="axisRow" showAll="0">
      <items count="7">
        <item x="4"/>
        <item x="0"/>
        <item x="2"/>
        <item x="1"/>
        <item x="3"/>
        <item m="1" x="5"/>
        <item t="default"/>
      </items>
    </pivotField>
  </pivotFields>
  <rowFields count="1">
    <field x="11"/>
  </rowFields>
  <rowItems count="6">
    <i>
      <x/>
    </i>
    <i>
      <x v="1"/>
    </i>
    <i>
      <x v="2"/>
    </i>
    <i>
      <x v="3"/>
    </i>
    <i>
      <x v="4"/>
    </i>
    <i t="grand">
      <x/>
    </i>
  </rowItems>
  <colItems count="1">
    <i/>
  </colItems>
  <dataFields count="1">
    <dataField name="Count of Name" fld="0" subtotal="count" baseField="0" baseItem="0"/>
  </dataFields>
  <chartFormats count="8">
    <chartFormat chart="4" format="2" series="1">
      <pivotArea type="data" outline="0" fieldPosition="0">
        <references count="1">
          <reference field="4294967294" count="1" selected="0">
            <x v="0"/>
          </reference>
        </references>
      </pivotArea>
    </chartFormat>
    <chartFormat chart="4" format="8">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1" count="1" selected="0">
            <x v="0"/>
          </reference>
        </references>
      </pivotArea>
    </chartFormat>
    <chartFormat chart="4" format="10">
      <pivotArea type="data" outline="0" fieldPosition="0">
        <references count="2">
          <reference field="4294967294" count="1" selected="0">
            <x v="0"/>
          </reference>
          <reference field="11" count="1" selected="0">
            <x v="1"/>
          </reference>
        </references>
      </pivotArea>
    </chartFormat>
    <chartFormat chart="4" format="11">
      <pivotArea type="data" outline="0" fieldPosition="0">
        <references count="2">
          <reference field="4294967294" count="1" selected="0">
            <x v="0"/>
          </reference>
          <reference field="11" count="1" selected="0">
            <x v="2"/>
          </reference>
        </references>
      </pivotArea>
    </chartFormat>
    <chartFormat chart="4" format="12">
      <pivotArea type="data" outline="0" fieldPosition="0">
        <references count="2">
          <reference field="4294967294" count="1" selected="0">
            <x v="0"/>
          </reference>
          <reference field="11" count="1" selected="0">
            <x v="3"/>
          </reference>
        </references>
      </pivotArea>
    </chartFormat>
    <chartFormat chart="4" format="13">
      <pivotArea type="data" outline="0" fieldPosition="0">
        <references count="2">
          <reference field="4294967294" count="1" selected="0">
            <x v="0"/>
          </reference>
          <reference field="11" count="1" selected="0">
            <x v="4"/>
          </reference>
        </references>
      </pivotArea>
    </chartFormat>
    <chartFormat chart="4" format="14">
      <pivotArea type="data" outline="0" fieldPosition="0">
        <references count="2">
          <reference field="4294967294" count="1" selected="0">
            <x v="0"/>
          </reference>
          <reference field="1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F359AD98-1695-43D2-BFB8-E67E9AB75457}" sourceName="Project Name">
  <pivotTables>
    <pivotTable tabId="2" name="PivotTable43"/>
    <pivotTable tabId="2" name="PivotTable1"/>
    <pivotTable tabId="2" name="PivotTable3"/>
    <pivotTable tabId="2" name="PivotTable5"/>
  </pivotTables>
  <data>
    <tabular pivotCacheId="1346421020">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0E089DD-4384-483C-B3ED-9696FD6135B5}" sourceName="Name">
  <pivotTables>
    <pivotTable tabId="2" name="PivotTable3"/>
    <pivotTable tabId="2" name="PivotTable43"/>
    <pivotTable tabId="2" name="PivotTable5"/>
    <pivotTable tabId="2" name="PivotTable1"/>
  </pivotTables>
  <data>
    <tabular pivotCacheId="1346421020">
      <items count="35">
        <i x="3" s="1"/>
        <i x="2" s="1"/>
        <i x="0" s="1"/>
        <i x="7" s="1"/>
        <i x="6" s="1"/>
        <i x="5" s="1"/>
        <i x="4" s="1"/>
        <i x="1" s="1"/>
        <i x="13" s="1" nd="1"/>
        <i x="33" s="1" nd="1"/>
        <i x="10" s="1" nd="1"/>
        <i x="34" s="1" nd="1"/>
        <i x="8" s="1" nd="1"/>
        <i x="15" s="1" nd="1"/>
        <i x="29" s="1" nd="1"/>
        <i x="28" s="1" nd="1"/>
        <i x="31" s="1" nd="1"/>
        <i x="22" s="1" nd="1"/>
        <i x="21" s="1" nd="1"/>
        <i x="24" s="1" nd="1"/>
        <i x="26" s="1" nd="1"/>
        <i x="11" s="1" nd="1"/>
        <i x="20" s="1" nd="1"/>
        <i x="27" s="1" nd="1"/>
        <i x="25" s="1" nd="1"/>
        <i x="18" s="1" nd="1"/>
        <i x="14" s="1" nd="1"/>
        <i x="17" s="1" nd="1"/>
        <i x="19" s="1" nd="1"/>
        <i x="12" s="1" nd="1"/>
        <i x="23" s="1" nd="1"/>
        <i x="16" s="1" nd="1"/>
        <i x="30" s="1" nd="1"/>
        <i x="32" s="1" nd="1"/>
        <i x="9"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Name" xr10:uid="{D3AA9C05-545B-4B4E-901D-FD39A5EA1311}" cache="Slicer_Project_Name" caption="Project Name" style="Slicer Style 1" rowHeight="234950"/>
  <slicer name="Name" xr10:uid="{7067CAAE-BCE1-4E2B-8FBE-018712606AFF}" cache="Slicer_Name" caption="Stakeholder's Names"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4AD622-CF64-40A3-8D3A-964BBE3255C6}" name="Table1" displayName="Table1" ref="B7:M23" totalsRowShown="0" headerRowDxfId="12">
  <tableColumns count="12">
    <tableColumn id="1" xr3:uid="{28A0FB48-E75C-4FBD-87D6-5C8A5665A97C}" name="Name" dataDxfId="11"/>
    <tableColumn id="2" xr3:uid="{52BECB93-4E8F-4583-A21C-AEDDC40542F6}" name="e-mail" dataDxfId="10" dataCellStyle="Hyperlink"/>
    <tableColumn id="3" xr3:uid="{B1DBC4E4-ACA4-442B-B0C5-7820F6642AA4}" name="Phone" dataDxfId="9"/>
    <tableColumn id="4" xr3:uid="{52C00E72-A32B-4774-B975-55F6CB5F62C8}" name="Preferred method of contact" dataDxfId="8"/>
    <tableColumn id="5" xr3:uid="{2F8380B5-34A4-412B-A793-02A2DA2015E9}" name="Project Name" dataDxfId="7"/>
    <tableColumn id="6" xr3:uid="{31FFF8B6-3335-4691-A02A-4864520C4561}" name="Level of power" dataDxfId="6"/>
    <tableColumn id="7" xr3:uid="{B8CB01D0-4B60-4CC0-B9C2-D1BCAC6644FD}" name="Level of interested" dataDxfId="5"/>
    <tableColumn id="8" xr3:uid="{F3C8C87E-EFB3-425D-B299-AA065A9F3C4A}" name="Information be distribution" dataDxfId="4"/>
    <tableColumn id="9" xr3:uid="{D6F01A23-3091-4EED-AA7C-0AAFAEE159A8}" name="Type of information" dataDxfId="3">
      <calculatedColumnFormula>IF(SUM(G8:H8)=2,Support!C$5,IF(SUM(G8:H8)=3,Support!C$6,IF(SUM(G8:H8)=4,Support!C$7,IF(SUM(G8:H8)=5,Support!C$8,IF(SUM(G8:H8)=6,Support!C$9)))))</calculatedColumnFormula>
    </tableColumn>
    <tableColumn id="10" xr3:uid="{B5F5DEF6-E107-4599-A176-B537D8C25FE6}" name="Frequency" dataDxfId="2">
      <calculatedColumnFormula>IF(SUM(G8:H8)=2,Support!B$5,IF(SUM(G8:H8)=3,Support!B$6,IF(SUM(G8:H8)=4,Support!B$7,IF(SUM(G8:H8)=5,Support!B$8,IF(SUM(G8:H8)=6,Support!B$9)))))</calculatedColumnFormula>
    </tableColumn>
    <tableColumn id="11" xr3:uid="{ADD6318A-E8DC-4182-AEF9-5E723855F27A}" name="Interation" dataDxfId="1">
      <calculatedColumnFormula>SUM(G8:H8)</calculatedColumnFormula>
    </tableColumn>
    <tableColumn id="12" xr3:uid="{CA21AA0F-E4EA-4FBE-9F57-7E5B6E6E1A6C}" name="L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rafaela.polanski@cifron.com" TargetMode="External"/><Relationship Id="rId13" Type="http://schemas.openxmlformats.org/officeDocument/2006/relationships/hyperlink" Target="mailto:marva.kinkead@cifron.com" TargetMode="External"/><Relationship Id="rId18" Type="http://schemas.openxmlformats.org/officeDocument/2006/relationships/drawing" Target="../drawings/drawing2.xml"/><Relationship Id="rId3" Type="http://schemas.openxmlformats.org/officeDocument/2006/relationships/hyperlink" Target="mailto:brian.wood@cifron.com" TargetMode="External"/><Relationship Id="rId7" Type="http://schemas.openxmlformats.org/officeDocument/2006/relationships/hyperlink" Target="mailto:william.kulju@cifron.com" TargetMode="External"/><Relationship Id="rId12" Type="http://schemas.openxmlformats.org/officeDocument/2006/relationships/hyperlink" Target="mailto:monica.sighal@cifron.com" TargetMode="External"/><Relationship Id="rId17" Type="http://schemas.openxmlformats.org/officeDocument/2006/relationships/printerSettings" Target="../printerSettings/printerSettings2.bin"/><Relationship Id="rId2" Type="http://schemas.openxmlformats.org/officeDocument/2006/relationships/hyperlink" Target="mailto:william.kulju@cifron.com" TargetMode="External"/><Relationship Id="rId16" Type="http://schemas.openxmlformats.org/officeDocument/2006/relationships/hyperlink" Target="mailto:marva.kinkead@cifron.com" TargetMode="External"/><Relationship Id="rId1" Type="http://schemas.openxmlformats.org/officeDocument/2006/relationships/hyperlink" Target="mailto:kevin.bogoush@cifron.com" TargetMode="External"/><Relationship Id="rId6" Type="http://schemas.openxmlformats.org/officeDocument/2006/relationships/hyperlink" Target="mailto:kevin.bogoush@cifron.com" TargetMode="External"/><Relationship Id="rId11" Type="http://schemas.openxmlformats.org/officeDocument/2006/relationships/hyperlink" Target="mailto:rafaela.polanski@cifron.com" TargetMode="External"/><Relationship Id="rId5" Type="http://schemas.openxmlformats.org/officeDocument/2006/relationships/hyperlink" Target="mailto:sameer.jagtap@cifron.com" TargetMode="External"/><Relationship Id="rId15" Type="http://schemas.openxmlformats.org/officeDocument/2006/relationships/hyperlink" Target="mailto:monica.sighal@cifron.com" TargetMode="External"/><Relationship Id="rId10" Type="http://schemas.openxmlformats.org/officeDocument/2006/relationships/hyperlink" Target="mailto:marva.kinkead@cifron.com" TargetMode="External"/><Relationship Id="rId19" Type="http://schemas.openxmlformats.org/officeDocument/2006/relationships/table" Target="../tables/table1.xml"/><Relationship Id="rId4" Type="http://schemas.openxmlformats.org/officeDocument/2006/relationships/hyperlink" Target="mailto:andy.sanderson@cifron.com" TargetMode="External"/><Relationship Id="rId9" Type="http://schemas.openxmlformats.org/officeDocument/2006/relationships/hyperlink" Target="mailto:monica.sighal@cifron.com" TargetMode="External"/><Relationship Id="rId14" Type="http://schemas.openxmlformats.org/officeDocument/2006/relationships/hyperlink" Target="mailto:rafaela.polanski@cifron.com" TargetMode="Externa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C556C-3CAD-461C-B52B-327EE78E90C8}">
  <sheetPr codeName="Sheet2"/>
  <dimension ref="A5:L5"/>
  <sheetViews>
    <sheetView showGridLines="0" showRowColHeaders="0" tabSelected="1" showRuler="0" zoomScale="80" zoomScaleNormal="80" workbookViewId="0">
      <selection activeCell="J65" sqref="J65"/>
    </sheetView>
  </sheetViews>
  <sheetFormatPr defaultColWidth="25.77734375" defaultRowHeight="13.2" x14ac:dyDescent="0.25"/>
  <cols>
    <col min="1" max="1" width="7" style="2" customWidth="1"/>
    <col min="2" max="2" width="25.5546875" style="2" customWidth="1"/>
    <col min="3" max="3" width="34.5546875" style="2" customWidth="1"/>
    <col min="4" max="4" width="11.6640625" style="2" bestFit="1" customWidth="1"/>
    <col min="5" max="5" width="27" style="2" customWidth="1"/>
    <col min="6" max="6" width="14.77734375" style="3" bestFit="1" customWidth="1"/>
    <col min="7" max="7" width="18.33203125" style="3" bestFit="1" customWidth="1"/>
    <col min="8" max="8" width="25.5546875" style="2" bestFit="1" customWidth="1"/>
    <col min="9" max="9" width="61.77734375" style="2" bestFit="1" customWidth="1"/>
    <col min="10" max="10" width="20.88671875" style="2" bestFit="1" customWidth="1"/>
    <col min="11" max="11" width="9.5546875" style="2" bestFit="1" customWidth="1"/>
    <col min="12" max="16384" width="25.77734375" style="2"/>
  </cols>
  <sheetData>
    <row r="5" spans="1:12" ht="14.4" customHeight="1" x14ac:dyDescent="0.25">
      <c r="A5" s="7"/>
      <c r="B5" s="7"/>
      <c r="C5" s="7"/>
      <c r="D5" s="7"/>
      <c r="E5" s="7"/>
      <c r="F5" s="8"/>
      <c r="G5" s="8"/>
      <c r="H5" s="7"/>
      <c r="I5" s="7"/>
      <c r="J5" s="25" t="str">
        <f ca="1">CONCATENATE(Support!H5," - ", Support!H2," ",Support!H3," - ",Support!H4)</f>
        <v>Sunday - July 21 - 2019</v>
      </c>
      <c r="K5" s="25"/>
      <c r="L5" s="7"/>
    </row>
  </sheetData>
  <dataConsolidate/>
  <mergeCells count="1">
    <mergeCell ref="J5:K5"/>
  </mergeCells>
  <pageMargins left="0.7" right="0.7" top="0.75" bottom="0.75" header="0.3" footer="0.3"/>
  <pageSetup orientation="portrait" horizontalDpi="4294967293"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B656-4C6D-4AB9-A25C-93874C38327B}">
  <sheetPr codeName="Sheet1"/>
  <dimension ref="A1:N23"/>
  <sheetViews>
    <sheetView showGridLines="0" showRowColHeaders="0" showRuler="0" zoomScale="80" zoomScaleNormal="80" workbookViewId="0"/>
  </sheetViews>
  <sheetFormatPr defaultColWidth="25.77734375" defaultRowHeight="13.2" x14ac:dyDescent="0.25"/>
  <cols>
    <col min="1" max="1" width="5.5546875" style="2" customWidth="1"/>
    <col min="2" max="2" width="17.5546875" style="14" customWidth="1"/>
    <col min="3" max="3" width="26.88671875" style="14" customWidth="1"/>
    <col min="4" max="4" width="11.6640625" style="14" bestFit="1" customWidth="1"/>
    <col min="5" max="5" width="28.109375" style="14" customWidth="1"/>
    <col min="6" max="6" width="15" style="14" customWidth="1"/>
    <col min="7" max="7" width="15.88671875" style="15" customWidth="1"/>
    <col min="8" max="8" width="19.21875" style="15" customWidth="1"/>
    <col min="9" max="9" width="26.77734375" style="14" customWidth="1"/>
    <col min="10" max="10" width="58.44140625" style="17" customWidth="1"/>
    <col min="11" max="11" width="20.21875" style="17" customWidth="1"/>
    <col min="12" max="12" width="11.5546875" style="12" customWidth="1"/>
    <col min="13" max="13" width="18.33203125" style="14" hidden="1" customWidth="1"/>
    <col min="14" max="16384" width="25.77734375" style="2"/>
  </cols>
  <sheetData>
    <row r="1" spans="1:14" x14ac:dyDescent="0.25">
      <c r="B1" s="2"/>
      <c r="C1" s="2"/>
      <c r="D1" s="2"/>
      <c r="E1" s="2"/>
      <c r="F1" s="2"/>
      <c r="G1" s="3"/>
      <c r="H1" s="3"/>
      <c r="I1" s="2"/>
      <c r="J1" s="2"/>
      <c r="K1" s="2"/>
      <c r="L1" s="2"/>
      <c r="M1" s="2"/>
    </row>
    <row r="2" spans="1:14" x14ac:dyDescent="0.25">
      <c r="B2" s="2"/>
      <c r="C2" s="2"/>
      <c r="D2" s="2"/>
      <c r="E2" s="2"/>
      <c r="F2" s="2"/>
      <c r="G2" s="3"/>
      <c r="H2" s="3"/>
      <c r="I2" s="2"/>
      <c r="J2" s="2"/>
      <c r="K2" s="2"/>
      <c r="L2" s="2"/>
      <c r="M2" s="2"/>
    </row>
    <row r="3" spans="1:14" x14ac:dyDescent="0.25">
      <c r="B3" s="2"/>
      <c r="C3" s="2"/>
      <c r="D3" s="2"/>
      <c r="E3" s="2"/>
      <c r="F3" s="2"/>
      <c r="G3" s="3"/>
      <c r="H3" s="3"/>
      <c r="I3" s="2"/>
      <c r="J3" s="2"/>
      <c r="K3" s="2"/>
      <c r="L3" s="2"/>
      <c r="M3" s="2"/>
    </row>
    <row r="4" spans="1:14" x14ac:dyDescent="0.25">
      <c r="B4" s="2"/>
      <c r="C4" s="2"/>
      <c r="D4" s="2"/>
      <c r="E4" s="2"/>
      <c r="F4" s="2"/>
      <c r="G4" s="3"/>
      <c r="H4" s="3"/>
      <c r="I4" s="2"/>
      <c r="J4" s="2"/>
      <c r="K4" s="2"/>
      <c r="L4" s="2"/>
      <c r="M4" s="2"/>
    </row>
    <row r="5" spans="1:14" ht="14.4" customHeight="1" x14ac:dyDescent="0.25">
      <c r="A5" s="7"/>
      <c r="B5" s="7"/>
      <c r="C5" s="7"/>
      <c r="D5" s="7"/>
      <c r="E5" s="7"/>
      <c r="F5" s="7"/>
      <c r="G5" s="8"/>
      <c r="H5" s="8"/>
      <c r="I5" s="7"/>
      <c r="J5" s="7"/>
      <c r="K5" s="25" t="str">
        <f ca="1">CONCATENATE(Support!H5," - ", Support!H2," ",Support!H3," - ",Support!H4)</f>
        <v>Sunday - July 21 - 2019</v>
      </c>
      <c r="L5" s="25"/>
      <c r="M5" s="7"/>
      <c r="N5" s="7"/>
    </row>
    <row r="6" spans="1:14" x14ac:dyDescent="0.25">
      <c r="B6" s="2"/>
      <c r="C6" s="2"/>
      <c r="D6" s="2"/>
      <c r="E6" s="2"/>
      <c r="F6" s="2"/>
      <c r="G6" s="3"/>
      <c r="H6" s="3"/>
      <c r="I6" s="2"/>
      <c r="J6" s="2"/>
      <c r="K6" s="2"/>
      <c r="L6" s="2"/>
      <c r="M6" s="2"/>
    </row>
    <row r="7" spans="1:14" s="5" customFormat="1" ht="30" customHeight="1" x14ac:dyDescent="0.3">
      <c r="B7" s="4" t="s">
        <v>4</v>
      </c>
      <c r="C7" s="4" t="s">
        <v>12</v>
      </c>
      <c r="D7" s="4" t="s">
        <v>13</v>
      </c>
      <c r="E7" s="4" t="s">
        <v>3</v>
      </c>
      <c r="F7" s="4" t="s">
        <v>51</v>
      </c>
      <c r="G7" s="4" t="s">
        <v>26</v>
      </c>
      <c r="H7" s="4" t="s">
        <v>2</v>
      </c>
      <c r="I7" s="4" t="s">
        <v>27</v>
      </c>
      <c r="J7" s="4" t="s">
        <v>0</v>
      </c>
      <c r="K7" s="4" t="s">
        <v>1</v>
      </c>
      <c r="L7" s="4" t="s">
        <v>28</v>
      </c>
      <c r="M7" s="4" t="s">
        <v>55</v>
      </c>
    </row>
    <row r="8" spans="1:14" ht="14.4" x14ac:dyDescent="0.3">
      <c r="B8" s="14" t="s">
        <v>58</v>
      </c>
      <c r="C8" s="18" t="s">
        <v>63</v>
      </c>
      <c r="D8" s="14" t="s">
        <v>25</v>
      </c>
      <c r="E8" s="15" t="s">
        <v>71</v>
      </c>
      <c r="F8" s="15" t="s">
        <v>52</v>
      </c>
      <c r="G8" s="16">
        <v>2</v>
      </c>
      <c r="H8" s="16">
        <v>1</v>
      </c>
      <c r="I8" s="15" t="s">
        <v>12</v>
      </c>
      <c r="J8" s="17" t="str">
        <f>IF(SUM(G8:H8)=2,Support!C$5,IF(SUM(G8:H8)=3,Support!C$6,IF(SUM(G8:H8)=4,Support!C$7,IF(SUM(G8:H8)=5,Support!C$8,IF(SUM(G8:H8)=6,Support!C$9)))))</f>
        <v>Monthly Dashboard and Only if extremely necessary for meetings</v>
      </c>
      <c r="K8" s="17" t="str">
        <f>IF(SUM(G8:H8)=2,Support!B$5,IF(SUM(G8:H8)=3,Support!B$6,IF(SUM(G8:H8)=4,Support!B$7,IF(SUM(G8:H8)=5,Support!B$8,IF(SUM(G8:H8)=6,Support!B$9)))))</f>
        <v>Monthly</v>
      </c>
      <c r="L8" s="13">
        <f>SUM(G8:H8)</f>
        <v>3</v>
      </c>
      <c r="M8" s="14" t="str">
        <f>VLOOKUP(L8,Support!D$5:E$9,2,0)</f>
        <v>Less Interation</v>
      </c>
    </row>
    <row r="9" spans="1:14" ht="14.4" x14ac:dyDescent="0.3">
      <c r="B9" s="14" t="s">
        <v>59</v>
      </c>
      <c r="C9" s="18" t="s">
        <v>64</v>
      </c>
      <c r="D9" s="14" t="s">
        <v>25</v>
      </c>
      <c r="E9" s="15" t="s">
        <v>72</v>
      </c>
      <c r="F9" s="15" t="s">
        <v>52</v>
      </c>
      <c r="G9" s="16">
        <v>1</v>
      </c>
      <c r="H9" s="16">
        <v>1</v>
      </c>
      <c r="I9" s="15" t="s">
        <v>12</v>
      </c>
      <c r="J9" s="17" t="str">
        <f>IF(SUM(G9:H9)=2,Support!C$5,IF(SUM(G9:H9)=3,Support!C$6,IF(SUM(G9:H9)=4,Support!C$7,IF(SUM(G9:H9)=5,Support!C$8,IF(SUM(G9:H9)=6,Support!C$9)))))</f>
        <v>Only when requested</v>
      </c>
      <c r="K9" s="17" t="str">
        <f>IF(SUM(G9:H9)=2,Support!B$5,IF(SUM(G9:H9)=3,Support!B$6,IF(SUM(G9:H9)=4,Support!B$7,IF(SUM(G9:H9)=5,Support!B$8,IF(SUM(G9:H9)=6,Support!B$9)))))</f>
        <v>Only when requested</v>
      </c>
      <c r="L9" s="13">
        <f t="shared" ref="L9:L12" si="0">SUM(G9:H9)</f>
        <v>2</v>
      </c>
      <c r="M9" s="14" t="str">
        <f>VLOOKUP(L9,Support!D$5:E$9,2,0)</f>
        <v>No Interation</v>
      </c>
    </row>
    <row r="10" spans="1:14" ht="14.4" x14ac:dyDescent="0.3">
      <c r="B10" s="14" t="s">
        <v>60</v>
      </c>
      <c r="C10" s="18" t="s">
        <v>65</v>
      </c>
      <c r="D10" s="14" t="s">
        <v>25</v>
      </c>
      <c r="E10" s="15" t="s">
        <v>75</v>
      </c>
      <c r="F10" s="15" t="s">
        <v>53</v>
      </c>
      <c r="G10" s="16">
        <v>3</v>
      </c>
      <c r="H10" s="16">
        <v>1</v>
      </c>
      <c r="I10" s="15" t="s">
        <v>12</v>
      </c>
      <c r="J10" s="17" t="str">
        <f>IF(SUM(G10:H10)=2,Support!C$5,IF(SUM(G10:H10)=3,Support!C$6,IF(SUM(G10:H10)=4,Support!C$7,IF(SUM(G10:H10)=5,Support!C$8,IF(SUM(G10:H10)=6,Support!C$9)))))</f>
        <v>Biweekly Dashboard and Monthly meetings</v>
      </c>
      <c r="K10" s="17" t="str">
        <f>IF(SUM(G10:H10)=2,Support!B$5,IF(SUM(G10:H10)=3,Support!B$6,IF(SUM(G10:H10)=4,Support!B$7,IF(SUM(G10:H10)=5,Support!B$8,IF(SUM(G10:H10)=6,Support!B$9)))))</f>
        <v>Biweekly</v>
      </c>
      <c r="L10" s="13">
        <f t="shared" si="0"/>
        <v>4</v>
      </c>
      <c r="M10" s="14" t="str">
        <f>VLOOKUP(L10,Support!D$5:E$9,2,0)</f>
        <v>Medium Interation</v>
      </c>
    </row>
    <row r="11" spans="1:14" ht="14.4" x14ac:dyDescent="0.3">
      <c r="B11" s="14" t="s">
        <v>61</v>
      </c>
      <c r="C11" s="18" t="s">
        <v>66</v>
      </c>
      <c r="D11" s="14" t="s">
        <v>25</v>
      </c>
      <c r="E11" s="15" t="s">
        <v>77</v>
      </c>
      <c r="F11" s="15" t="s">
        <v>54</v>
      </c>
      <c r="G11" s="16">
        <v>1</v>
      </c>
      <c r="H11" s="16">
        <v>1</v>
      </c>
      <c r="I11" s="15" t="s">
        <v>12</v>
      </c>
      <c r="J11" s="17" t="str">
        <f>IF(SUM(G11:H11)=2,Support!C$5,IF(SUM(G11:H11)=3,Support!C$6,IF(SUM(G11:H11)=4,Support!C$7,IF(SUM(G11:H11)=5,Support!C$8,IF(SUM(G11:H11)=6,Support!C$9)))))</f>
        <v>Only when requested</v>
      </c>
      <c r="K11" s="17" t="str">
        <f>IF(SUM(G11:H11)=2,Support!B$5,IF(SUM(G11:H11)=3,Support!B$6,IF(SUM(G11:H11)=4,Support!B$7,IF(SUM(G11:H11)=5,Support!B$8,IF(SUM(G11:H11)=6,Support!B$9)))))</f>
        <v>Only when requested</v>
      </c>
      <c r="L11" s="13">
        <f t="shared" si="0"/>
        <v>2</v>
      </c>
      <c r="M11" s="14" t="str">
        <f>VLOOKUP(L11,Support!D$5:E$9,2,0)</f>
        <v>No Interation</v>
      </c>
    </row>
    <row r="12" spans="1:14" ht="14.4" x14ac:dyDescent="0.3">
      <c r="B12" s="14" t="s">
        <v>62</v>
      </c>
      <c r="C12" s="18" t="s">
        <v>67</v>
      </c>
      <c r="D12" s="14" t="s">
        <v>25</v>
      </c>
      <c r="E12" s="15" t="s">
        <v>13</v>
      </c>
      <c r="F12" s="15" t="s">
        <v>54</v>
      </c>
      <c r="G12" s="16">
        <v>2</v>
      </c>
      <c r="H12" s="16">
        <v>2</v>
      </c>
      <c r="I12" s="15" t="s">
        <v>13</v>
      </c>
      <c r="J12" s="17" t="str">
        <f>IF(SUM(G12:H12)=2,Support!C$5,IF(SUM(G12:H12)=3,Support!C$6,IF(SUM(G12:H12)=4,Support!C$7,IF(SUM(G12:H12)=5,Support!C$8,IF(SUM(G12:H12)=6,Support!C$9)))))</f>
        <v>Biweekly Dashboard and Monthly meetings</v>
      </c>
      <c r="K12" s="17" t="str">
        <f>IF(SUM(G12:H12)=2,Support!B$5,IF(SUM(G12:H12)=3,Support!B$6,IF(SUM(G12:H12)=4,Support!B$7,IF(SUM(G12:H12)=5,Support!B$8,IF(SUM(G12:H12)=6,Support!B$9)))))</f>
        <v>Biweekly</v>
      </c>
      <c r="L12" s="13">
        <f t="shared" si="0"/>
        <v>4</v>
      </c>
      <c r="M12" s="14" t="str">
        <f>VLOOKUP(L12,Support!D$5:E$9,2,0)</f>
        <v>Medium Interation</v>
      </c>
    </row>
    <row r="13" spans="1:14" ht="14.4" x14ac:dyDescent="0.3">
      <c r="B13" s="14" t="s">
        <v>58</v>
      </c>
      <c r="C13" s="18" t="s">
        <v>63</v>
      </c>
      <c r="D13" s="14" t="s">
        <v>25</v>
      </c>
      <c r="E13" s="15" t="s">
        <v>71</v>
      </c>
      <c r="F13" s="15" t="s">
        <v>54</v>
      </c>
      <c r="G13" s="16">
        <v>2</v>
      </c>
      <c r="H13" s="16">
        <v>1</v>
      </c>
      <c r="I13" s="15" t="s">
        <v>12</v>
      </c>
      <c r="J13" s="17" t="str">
        <f>IF(SUM(G13:H13)=2,Support!C$5,IF(SUM(G13:H13)=3,Support!C$6,IF(SUM(G13:H13)=4,Support!C$7,IF(SUM(G13:H13)=5,Support!C$8,IF(SUM(G13:H13)=6,Support!C$9)))))</f>
        <v>Monthly Dashboard and Only if extremely necessary for meetings</v>
      </c>
      <c r="K13" s="17" t="str">
        <f>IF(SUM(G13:H13)=2,Support!B$5,IF(SUM(G13:H13)=3,Support!B$6,IF(SUM(G13:H13)=4,Support!B$7,IF(SUM(G13:H13)=5,Support!B$8,IF(SUM(G13:H13)=6,Support!B$9)))))</f>
        <v>Monthly</v>
      </c>
      <c r="L13" s="13">
        <f t="shared" ref="L13:L14" si="1">SUM(G13:H13)</f>
        <v>3</v>
      </c>
      <c r="M13" s="14" t="str">
        <f>VLOOKUP(L13,Support!D$5:E$9,2,0)</f>
        <v>Less Interation</v>
      </c>
    </row>
    <row r="14" spans="1:14" ht="14.4" x14ac:dyDescent="0.3">
      <c r="B14" s="19" t="s">
        <v>59</v>
      </c>
      <c r="C14" s="18" t="s">
        <v>64</v>
      </c>
      <c r="D14" s="19" t="s">
        <v>25</v>
      </c>
      <c r="E14" s="20" t="s">
        <v>76</v>
      </c>
      <c r="F14" s="20" t="s">
        <v>53</v>
      </c>
      <c r="G14" s="21">
        <v>1</v>
      </c>
      <c r="H14" s="21">
        <v>1</v>
      </c>
      <c r="I14" s="20" t="s">
        <v>83</v>
      </c>
      <c r="J14" s="22" t="str">
        <f>IF(SUM(G14:H14)=2,Support!C$5,IF(SUM(G14:H14)=3,Support!C$6,IF(SUM(G14:H14)=4,Support!C$7,IF(SUM(G14:H14)=5,Support!C$8,IF(SUM(G14:H14)=6,Support!C$9)))))</f>
        <v>Only when requested</v>
      </c>
      <c r="K14" s="22" t="str">
        <f>IF(SUM(G14:H14)=2,Support!B$5,IF(SUM(G14:H14)=3,Support!B$6,IF(SUM(G14:H14)=4,Support!B$7,IF(SUM(G14:H14)=5,Support!B$8,IF(SUM(G14:H14)=6,Support!B$9)))))</f>
        <v>Only when requested</v>
      </c>
      <c r="L14" s="23">
        <f t="shared" si="1"/>
        <v>2</v>
      </c>
      <c r="M14" s="14" t="str">
        <f>VLOOKUP(L14,Support!D$5:E$9,2,0)</f>
        <v>No Interation</v>
      </c>
    </row>
    <row r="15" spans="1:14" ht="14.4" x14ac:dyDescent="0.3">
      <c r="B15" s="19" t="s">
        <v>24</v>
      </c>
      <c r="C15" s="24" t="s">
        <v>78</v>
      </c>
      <c r="D15" s="19" t="s">
        <v>25</v>
      </c>
      <c r="E15" s="15" t="s">
        <v>13</v>
      </c>
      <c r="F15" s="15" t="s">
        <v>52</v>
      </c>
      <c r="G15" s="21">
        <v>3</v>
      </c>
      <c r="H15" s="21">
        <v>2</v>
      </c>
      <c r="I15" s="20" t="s">
        <v>13</v>
      </c>
      <c r="J15" s="22" t="str">
        <f>IF(SUM(G15:H15)=2,Support!C$5,IF(SUM(G15:H15)=3,Support!C$6,IF(SUM(G15:H15)=4,Support!C$7,IF(SUM(G15:H15)=5,Support!C$8,IF(SUM(G15:H15)=6,Support!C$9)))))</f>
        <v>Weekly Dashboard and Biweekly meetings</v>
      </c>
      <c r="K15" s="22" t="str">
        <f>IF(SUM(G15:H15)=2,Support!B$5,IF(SUM(G15:H15)=3,Support!B$6,IF(SUM(G15:H15)=4,Support!B$7,IF(SUM(G15:H15)=5,Support!B$8,IF(SUM(G15:H15)=6,Support!B$9)))))</f>
        <v>Weekly</v>
      </c>
      <c r="L15" s="23">
        <f t="shared" ref="L15:L23" si="2">SUM(G15:H15)</f>
        <v>5</v>
      </c>
      <c r="M15" s="14" t="str">
        <f>VLOOKUP(L15,Support!D$5:E$9,2,0)</f>
        <v>Some Interation</v>
      </c>
    </row>
    <row r="16" spans="1:14" ht="14.4" x14ac:dyDescent="0.3">
      <c r="B16" s="19" t="s">
        <v>79</v>
      </c>
      <c r="C16" s="24" t="s">
        <v>80</v>
      </c>
      <c r="D16" s="19" t="s">
        <v>25</v>
      </c>
      <c r="E16" s="15" t="s">
        <v>71</v>
      </c>
      <c r="F16" s="15" t="s">
        <v>52</v>
      </c>
      <c r="G16" s="21">
        <v>3</v>
      </c>
      <c r="H16" s="21">
        <v>1</v>
      </c>
      <c r="I16" s="20" t="s">
        <v>12</v>
      </c>
      <c r="J16" s="22" t="str">
        <f>IF(SUM(G16:H16)=2,Support!C$5,IF(SUM(G16:H16)=3,Support!C$6,IF(SUM(G16:H16)=4,Support!C$7,IF(SUM(G16:H16)=5,Support!C$8,IF(SUM(G16:H16)=6,Support!C$9)))))</f>
        <v>Biweekly Dashboard and Monthly meetings</v>
      </c>
      <c r="K16" s="22" t="str">
        <f>IF(SUM(G16:H16)=2,Support!B$5,IF(SUM(G16:H16)=3,Support!B$6,IF(SUM(G16:H16)=4,Support!B$7,IF(SUM(G16:H16)=5,Support!B$8,IF(SUM(G16:H16)=6,Support!B$9)))))</f>
        <v>Biweekly</v>
      </c>
      <c r="L16" s="23">
        <f t="shared" si="2"/>
        <v>4</v>
      </c>
      <c r="M16" s="14" t="str">
        <f>VLOOKUP(L16,Support!D$5:E$9,2,0)</f>
        <v>Medium Interation</v>
      </c>
    </row>
    <row r="17" spans="2:13" ht="14.4" x14ac:dyDescent="0.3">
      <c r="B17" s="19" t="s">
        <v>81</v>
      </c>
      <c r="C17" s="24" t="s">
        <v>82</v>
      </c>
      <c r="D17" s="19" t="s">
        <v>25</v>
      </c>
      <c r="E17" s="20" t="s">
        <v>76</v>
      </c>
      <c r="F17" s="15" t="s">
        <v>52</v>
      </c>
      <c r="G17" s="21">
        <v>3</v>
      </c>
      <c r="H17" s="21">
        <v>3</v>
      </c>
      <c r="I17" s="20" t="s">
        <v>69</v>
      </c>
      <c r="J17" s="22" t="str">
        <f>IF(SUM(G17:H17)=2,Support!C$5,IF(SUM(G17:H17)=3,Support!C$6,IF(SUM(G17:H17)=4,Support!C$7,IF(SUM(G17:H17)=5,Support!C$8,IF(SUM(G17:H17)=6,Support!C$9)))))</f>
        <v>Daily follow up - Weekly meetings</v>
      </c>
      <c r="K17" s="22" t="str">
        <f>IF(SUM(G17:H17)=2,Support!B$5,IF(SUM(G17:H17)=3,Support!B$6,IF(SUM(G17:H17)=4,Support!B$7,IF(SUM(G17:H17)=5,Support!B$8,IF(SUM(G17:H17)=6,Support!B$9)))))</f>
        <v>Daily</v>
      </c>
      <c r="L17" s="23">
        <f t="shared" si="2"/>
        <v>6</v>
      </c>
      <c r="M17" s="14" t="str">
        <f>VLOOKUP(L17,Support!D$5:E$9,2,0)</f>
        <v>High Interation</v>
      </c>
    </row>
    <row r="18" spans="2:13" ht="14.4" x14ac:dyDescent="0.3">
      <c r="B18" s="19" t="s">
        <v>24</v>
      </c>
      <c r="C18" s="24" t="s">
        <v>78</v>
      </c>
      <c r="D18" s="19" t="s">
        <v>25</v>
      </c>
      <c r="E18" s="15" t="s">
        <v>13</v>
      </c>
      <c r="F18" s="15" t="s">
        <v>53</v>
      </c>
      <c r="G18" s="21">
        <v>2</v>
      </c>
      <c r="H18" s="21">
        <v>2</v>
      </c>
      <c r="I18" s="20" t="s">
        <v>13</v>
      </c>
      <c r="J18" s="22" t="str">
        <f>IF(SUM(G18:H18)=2,Support!C$5,IF(SUM(G18:H18)=3,Support!C$6,IF(SUM(G18:H18)=4,Support!C$7,IF(SUM(G18:H18)=5,Support!C$8,IF(SUM(G18:H18)=6,Support!C$9)))))</f>
        <v>Biweekly Dashboard and Monthly meetings</v>
      </c>
      <c r="K18" s="22" t="str">
        <f>IF(SUM(G18:H18)=2,Support!B$5,IF(SUM(G18:H18)=3,Support!B$6,IF(SUM(G18:H18)=4,Support!B$7,IF(SUM(G18:H18)=5,Support!B$8,IF(SUM(G18:H18)=6,Support!B$9)))))</f>
        <v>Biweekly</v>
      </c>
      <c r="L18" s="23">
        <f t="shared" si="2"/>
        <v>4</v>
      </c>
      <c r="M18" s="14" t="str">
        <f>VLOOKUP(L18,Support!D$5:E$9,2,0)</f>
        <v>Medium Interation</v>
      </c>
    </row>
    <row r="19" spans="2:13" ht="14.4" x14ac:dyDescent="0.3">
      <c r="B19" s="19" t="s">
        <v>79</v>
      </c>
      <c r="C19" s="24" t="s">
        <v>80</v>
      </c>
      <c r="D19" s="19" t="s">
        <v>25</v>
      </c>
      <c r="E19" s="15" t="s">
        <v>71</v>
      </c>
      <c r="F19" s="15" t="s">
        <v>53</v>
      </c>
      <c r="G19" s="21">
        <v>2</v>
      </c>
      <c r="H19" s="21">
        <v>1</v>
      </c>
      <c r="I19" s="20" t="s">
        <v>12</v>
      </c>
      <c r="J19" s="22" t="str">
        <f>IF(SUM(G19:H19)=2,Support!C$5,IF(SUM(G19:H19)=3,Support!C$6,IF(SUM(G19:H19)=4,Support!C$7,IF(SUM(G19:H19)=5,Support!C$8,IF(SUM(G19:H19)=6,Support!C$9)))))</f>
        <v>Monthly Dashboard and Only if extremely necessary for meetings</v>
      </c>
      <c r="K19" s="22" t="str">
        <f>IF(SUM(G19:H19)=2,Support!B$5,IF(SUM(G19:H19)=3,Support!B$6,IF(SUM(G19:H19)=4,Support!B$7,IF(SUM(G19:H19)=5,Support!B$8,IF(SUM(G19:H19)=6,Support!B$9)))))</f>
        <v>Monthly</v>
      </c>
      <c r="L19" s="23">
        <f t="shared" si="2"/>
        <v>3</v>
      </c>
      <c r="M19" s="14" t="str">
        <f>VLOOKUP(L19,Support!D$5:E$9,2,0)</f>
        <v>Less Interation</v>
      </c>
    </row>
    <row r="20" spans="2:13" ht="14.4" x14ac:dyDescent="0.3">
      <c r="B20" s="19" t="s">
        <v>81</v>
      </c>
      <c r="C20" s="24" t="s">
        <v>82</v>
      </c>
      <c r="D20" s="19" t="s">
        <v>25</v>
      </c>
      <c r="E20" s="20" t="s">
        <v>76</v>
      </c>
      <c r="F20" s="20" t="s">
        <v>53</v>
      </c>
      <c r="G20" s="21">
        <v>2</v>
      </c>
      <c r="H20" s="21">
        <v>3</v>
      </c>
      <c r="I20" s="20" t="s">
        <v>83</v>
      </c>
      <c r="J20" s="22" t="str">
        <f>IF(SUM(G20:H20)=2,Support!C$5,IF(SUM(G20:H20)=3,Support!C$6,IF(SUM(G20:H20)=4,Support!C$7,IF(SUM(G20:H20)=5,Support!C$8,IF(SUM(G20:H20)=6,Support!C$9)))))</f>
        <v>Weekly Dashboard and Biweekly meetings</v>
      </c>
      <c r="K20" s="22" t="str">
        <f>IF(SUM(G20:H20)=2,Support!B$5,IF(SUM(G20:H20)=3,Support!B$6,IF(SUM(G20:H20)=4,Support!B$7,IF(SUM(G20:H20)=5,Support!B$8,IF(SUM(G20:H20)=6,Support!B$9)))))</f>
        <v>Weekly</v>
      </c>
      <c r="L20" s="23">
        <f t="shared" si="2"/>
        <v>5</v>
      </c>
      <c r="M20" s="14" t="str">
        <f>VLOOKUP(L20,Support!D$5:E$9,2,0)</f>
        <v>Some Interation</v>
      </c>
    </row>
    <row r="21" spans="2:13" ht="14.4" x14ac:dyDescent="0.3">
      <c r="B21" s="19" t="s">
        <v>24</v>
      </c>
      <c r="C21" s="24" t="s">
        <v>78</v>
      </c>
      <c r="D21" s="19" t="s">
        <v>25</v>
      </c>
      <c r="E21" s="15" t="s">
        <v>13</v>
      </c>
      <c r="F21" s="15" t="s">
        <v>54</v>
      </c>
      <c r="G21" s="21">
        <v>1</v>
      </c>
      <c r="H21" s="21">
        <v>1</v>
      </c>
      <c r="I21" s="20" t="s">
        <v>13</v>
      </c>
      <c r="J21" s="22" t="str">
        <f>IF(SUM(G21:H21)=2,Support!C$5,IF(SUM(G21:H21)=3,Support!C$6,IF(SUM(G21:H21)=4,Support!C$7,IF(SUM(G21:H21)=5,Support!C$8,IF(SUM(G21:H21)=6,Support!C$9)))))</f>
        <v>Only when requested</v>
      </c>
      <c r="K21" s="22" t="str">
        <f>IF(SUM(G21:H21)=2,Support!B$5,IF(SUM(G21:H21)=3,Support!B$6,IF(SUM(G21:H21)=4,Support!B$7,IF(SUM(G21:H21)=5,Support!B$8,IF(SUM(G21:H21)=6,Support!B$9)))))</f>
        <v>Only when requested</v>
      </c>
      <c r="L21" s="23">
        <f t="shared" si="2"/>
        <v>2</v>
      </c>
      <c r="M21" s="14" t="str">
        <f>VLOOKUP(L21,Support!D$5:E$9,2,0)</f>
        <v>No Interation</v>
      </c>
    </row>
    <row r="22" spans="2:13" ht="14.4" x14ac:dyDescent="0.3">
      <c r="B22" s="19" t="s">
        <v>79</v>
      </c>
      <c r="C22" s="24" t="s">
        <v>80</v>
      </c>
      <c r="D22" s="19" t="s">
        <v>25</v>
      </c>
      <c r="E22" s="15" t="s">
        <v>71</v>
      </c>
      <c r="F22" s="15" t="s">
        <v>54</v>
      </c>
      <c r="G22" s="21">
        <v>1</v>
      </c>
      <c r="H22" s="21">
        <v>1</v>
      </c>
      <c r="I22" s="20" t="s">
        <v>12</v>
      </c>
      <c r="J22" s="22" t="str">
        <f>IF(SUM(G22:H22)=2,Support!C$5,IF(SUM(G22:H22)=3,Support!C$6,IF(SUM(G22:H22)=4,Support!C$7,IF(SUM(G22:H22)=5,Support!C$8,IF(SUM(G22:H22)=6,Support!C$9)))))</f>
        <v>Only when requested</v>
      </c>
      <c r="K22" s="22" t="str">
        <f>IF(SUM(G22:H22)=2,Support!B$5,IF(SUM(G22:H22)=3,Support!B$6,IF(SUM(G22:H22)=4,Support!B$7,IF(SUM(G22:H22)=5,Support!B$8,IF(SUM(G22:H22)=6,Support!B$9)))))</f>
        <v>Only when requested</v>
      </c>
      <c r="L22" s="23">
        <f t="shared" si="2"/>
        <v>2</v>
      </c>
      <c r="M22" s="14" t="str">
        <f>VLOOKUP(L22,Support!D$5:E$9,2,0)</f>
        <v>No Interation</v>
      </c>
    </row>
    <row r="23" spans="2:13" ht="14.4" x14ac:dyDescent="0.3">
      <c r="B23" s="19" t="s">
        <v>81</v>
      </c>
      <c r="C23" s="24" t="s">
        <v>82</v>
      </c>
      <c r="D23" s="19" t="s">
        <v>25</v>
      </c>
      <c r="E23" s="20" t="s">
        <v>76</v>
      </c>
      <c r="F23" s="20" t="s">
        <v>54</v>
      </c>
      <c r="G23" s="21">
        <v>1</v>
      </c>
      <c r="H23" s="21">
        <v>1</v>
      </c>
      <c r="I23" s="20" t="s">
        <v>83</v>
      </c>
      <c r="J23" s="22" t="str">
        <f>IF(SUM(G23:H23)=2,Support!C$5,IF(SUM(G23:H23)=3,Support!C$6,IF(SUM(G23:H23)=4,Support!C$7,IF(SUM(G23:H23)=5,Support!C$8,IF(SUM(G23:H23)=6,Support!C$9)))))</f>
        <v>Only when requested</v>
      </c>
      <c r="K23" s="22" t="str">
        <f>IF(SUM(G23:H23)=2,Support!B$5,IF(SUM(G23:H23)=3,Support!B$6,IF(SUM(G23:H23)=4,Support!B$7,IF(SUM(G23:H23)=5,Support!B$8,IF(SUM(G23:H23)=6,Support!B$9)))))</f>
        <v>Only when requested</v>
      </c>
      <c r="L23" s="23">
        <f t="shared" si="2"/>
        <v>2</v>
      </c>
      <c r="M23" s="19" t="str">
        <f>VLOOKUP(L23,Support!D$5:E$9,2,0)</f>
        <v>No Interation</v>
      </c>
    </row>
  </sheetData>
  <dataConsolidate/>
  <mergeCells count="1">
    <mergeCell ref="K5:L5"/>
  </mergeCells>
  <phoneticPr fontId="6" type="noConversion"/>
  <conditionalFormatting sqref="L8:L23">
    <cfRule type="colorScale" priority="7">
      <colorScale>
        <cfvo type="formula" val="1"/>
        <cfvo type="num" val="3"/>
        <cfvo type="num" val="5"/>
        <color rgb="FF5EF14F"/>
        <color rgb="FFFFC000"/>
        <color rgb="FFFF0000"/>
      </colorScale>
    </cfRule>
  </conditionalFormatting>
  <conditionalFormatting sqref="L18:L20">
    <cfRule type="colorScale" priority="3">
      <colorScale>
        <cfvo type="formula" val="1"/>
        <cfvo type="num" val="3"/>
        <cfvo type="num" val="5"/>
        <color rgb="FF5EF14F"/>
        <color rgb="FFFFC000"/>
        <color rgb="FFFF0000"/>
      </colorScale>
    </cfRule>
  </conditionalFormatting>
  <conditionalFormatting sqref="L21:L23">
    <cfRule type="colorScale" priority="2">
      <colorScale>
        <cfvo type="formula" val="1"/>
        <cfvo type="num" val="3"/>
        <cfvo type="num" val="5"/>
        <color rgb="FF5EF14F"/>
        <color rgb="FFFFC000"/>
        <color rgb="FFFF0000"/>
      </colorScale>
    </cfRule>
  </conditionalFormatting>
  <conditionalFormatting sqref="L21:L23">
    <cfRule type="colorScale" priority="1">
      <colorScale>
        <cfvo type="formula" val="1"/>
        <cfvo type="num" val="3"/>
        <cfvo type="num" val="5"/>
        <color rgb="FF5EF14F"/>
        <color rgb="FFFFC000"/>
        <color rgb="FFFF0000"/>
      </colorScale>
    </cfRule>
  </conditionalFormatting>
  <hyperlinks>
    <hyperlink ref="C8" r:id="rId1" xr:uid="{A2A94B25-A316-4188-8023-351A2E838223}"/>
    <hyperlink ref="C9" r:id="rId2" xr:uid="{0536CAEB-DCAA-4696-B1AB-37B388AC9C7B}"/>
    <hyperlink ref="C10" r:id="rId3" xr:uid="{C219504B-4396-4BA3-BE22-3F1C08C8B22A}"/>
    <hyperlink ref="C11" r:id="rId4" xr:uid="{CDBC35E4-C47F-4E57-9AE8-D6B3188786CD}"/>
    <hyperlink ref="C12" r:id="rId5" xr:uid="{A6D7DE5C-7DF9-46D2-8803-8B732002198F}"/>
    <hyperlink ref="C13" r:id="rId6" xr:uid="{F6BD763E-D04D-4BA3-8015-93C4A3DB70E8}"/>
    <hyperlink ref="C14" r:id="rId7" xr:uid="{659BCD8A-039E-4FBE-BAFB-B26AC2EC3409}"/>
    <hyperlink ref="C15" r:id="rId8" xr:uid="{A28C62E5-6FA9-461E-8010-99C287E2F48F}"/>
    <hyperlink ref="C16" r:id="rId9" xr:uid="{1FE7E495-4657-4DC0-81BB-85851B914226}"/>
    <hyperlink ref="C17" r:id="rId10" xr:uid="{1F7C8040-2244-401A-A0DD-5E09C9C86A09}"/>
    <hyperlink ref="C18" r:id="rId11" xr:uid="{FB0D743A-D0BA-46CD-A8B0-D13EC21A10DB}"/>
    <hyperlink ref="C19" r:id="rId12" xr:uid="{3071BCD4-9D19-42A0-872E-BC2AE25EAC00}"/>
    <hyperlink ref="C20" r:id="rId13" xr:uid="{EFC73B24-9B34-426B-90EF-6E6D387DC59E}"/>
    <hyperlink ref="C21" r:id="rId14" xr:uid="{184324AD-391E-4B1E-B8CD-F3B6782F49EA}"/>
    <hyperlink ref="C22" r:id="rId15" xr:uid="{54AAF936-5802-4B50-9376-F3D390A3F054}"/>
    <hyperlink ref="C23" r:id="rId16" xr:uid="{071B1852-9D2F-4A5E-94F2-B9A806895493}"/>
  </hyperlinks>
  <pageMargins left="0.7" right="0.7" top="0.75" bottom="0.75" header="0.3" footer="0.3"/>
  <pageSetup orientation="portrait" horizontalDpi="4294967293" verticalDpi="0" r:id="rId17"/>
  <drawing r:id="rId18"/>
  <tableParts count="1">
    <tablePart r:id="rId19"/>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01AAF37-AB05-4D82-8CD7-BC4695954633}">
          <x14:formula1>
            <xm:f>Support!$B$1:$D$1</xm:f>
          </x14:formula1>
          <xm:sqref>G8:H23</xm:sqref>
        </x14:dataValidation>
        <x14:dataValidation type="list" errorStyle="information" allowBlank="1" showInputMessage="1" showErrorMessage="1" errorTitle="Does not have this number" xr:uid="{CCBB01B0-53C1-4E1E-B16F-BFB576BE439E}">
          <x14:formula1>
            <xm:f>Support!$A$12:$A$23</xm:f>
          </x14:formula1>
          <xm:sqref>E8:E23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C2D3C-56E4-41C9-ADD5-71F09776B3EF}">
  <sheetPr codeName="Sheet3"/>
  <dimension ref="A1:U32"/>
  <sheetViews>
    <sheetView topLeftCell="A4" zoomScale="90" zoomScaleNormal="90" workbookViewId="0">
      <selection activeCell="A12" sqref="A12"/>
    </sheetView>
  </sheetViews>
  <sheetFormatPr defaultRowHeight="14.4" x14ac:dyDescent="0.3"/>
  <cols>
    <col min="1" max="1" width="48.5546875" bestFit="1" customWidth="1"/>
    <col min="2" max="3" width="14.21875" bestFit="1" customWidth="1"/>
    <col min="4" max="4" width="3.33203125" bestFit="1" customWidth="1"/>
    <col min="5" max="6" width="17.5546875" bestFit="1" customWidth="1"/>
    <col min="7" max="7" width="14.21875" bestFit="1" customWidth="1"/>
    <col min="8" max="8" width="5.44140625" bestFit="1" customWidth="1"/>
    <col min="9" max="9" width="8.5546875" bestFit="1" customWidth="1"/>
    <col min="10" max="10" width="20.33203125" bestFit="1" customWidth="1"/>
    <col min="11" max="11" width="13.44140625" bestFit="1" customWidth="1"/>
    <col min="12" max="12" width="14.21875" bestFit="1" customWidth="1"/>
    <col min="13" max="13" width="22.21875" bestFit="1" customWidth="1"/>
    <col min="14" max="14" width="25.33203125" bestFit="1" customWidth="1"/>
    <col min="15" max="15" width="18.21875" bestFit="1" customWidth="1"/>
    <col min="16" max="16" width="16.109375" bestFit="1" customWidth="1"/>
    <col min="17" max="17" width="5.44140625" bestFit="1" customWidth="1"/>
    <col min="18" max="18" width="8.5546875" bestFit="1" customWidth="1"/>
    <col min="19" max="19" width="20.33203125" bestFit="1" customWidth="1"/>
    <col min="20" max="20" width="7.6640625" bestFit="1" customWidth="1"/>
    <col min="21" max="22" width="11.21875" bestFit="1" customWidth="1"/>
    <col min="23" max="23" width="7" bestFit="1" customWidth="1"/>
    <col min="24" max="24" width="11.21875" bestFit="1" customWidth="1"/>
    <col min="25" max="25" width="2.21875" bestFit="1" customWidth="1"/>
    <col min="26" max="26" width="7" bestFit="1" customWidth="1"/>
    <col min="27" max="27" width="27.109375" bestFit="1" customWidth="1"/>
    <col min="28" max="28" width="30.77734375" bestFit="1" customWidth="1"/>
  </cols>
  <sheetData>
    <row r="1" spans="1:14" x14ac:dyDescent="0.3">
      <c r="A1" t="s">
        <v>5</v>
      </c>
      <c r="B1">
        <v>1</v>
      </c>
      <c r="C1">
        <v>2</v>
      </c>
      <c r="D1">
        <v>3</v>
      </c>
      <c r="H1" s="6">
        <f ca="1">TODAY()</f>
        <v>43667</v>
      </c>
    </row>
    <row r="2" spans="1:14" x14ac:dyDescent="0.3">
      <c r="A2" t="s">
        <v>6</v>
      </c>
      <c r="B2">
        <v>1</v>
      </c>
      <c r="C2">
        <v>2</v>
      </c>
      <c r="D2">
        <v>3</v>
      </c>
      <c r="H2" t="str">
        <f ca="1">VLOOKUP(MONTH(H1),J2:K13,2,0)</f>
        <v>July</v>
      </c>
      <c r="J2">
        <v>1</v>
      </c>
      <c r="K2" t="s">
        <v>30</v>
      </c>
      <c r="M2">
        <v>2</v>
      </c>
      <c r="N2" t="s">
        <v>41</v>
      </c>
    </row>
    <row r="3" spans="1:14" x14ac:dyDescent="0.3">
      <c r="H3">
        <f ca="1">DAY(H1)</f>
        <v>21</v>
      </c>
      <c r="J3">
        <v>2</v>
      </c>
      <c r="K3" t="s">
        <v>31</v>
      </c>
      <c r="M3">
        <v>3</v>
      </c>
      <c r="N3" t="s">
        <v>42</v>
      </c>
    </row>
    <row r="4" spans="1:14" x14ac:dyDescent="0.3">
      <c r="A4" t="s">
        <v>7</v>
      </c>
      <c r="B4" t="s">
        <v>1</v>
      </c>
      <c r="C4" s="1" t="s">
        <v>0</v>
      </c>
      <c r="D4" s="1"/>
      <c r="H4">
        <f ca="1">YEAR(H1)</f>
        <v>2019</v>
      </c>
      <c r="J4">
        <v>3</v>
      </c>
      <c r="K4" t="s">
        <v>32</v>
      </c>
      <c r="M4">
        <v>4</v>
      </c>
      <c r="N4" t="s">
        <v>43</v>
      </c>
    </row>
    <row r="5" spans="1:14" x14ac:dyDescent="0.3">
      <c r="A5">
        <v>2</v>
      </c>
      <c r="B5" t="s">
        <v>14</v>
      </c>
      <c r="C5" t="s">
        <v>14</v>
      </c>
      <c r="D5">
        <v>2</v>
      </c>
      <c r="E5" t="s">
        <v>16</v>
      </c>
      <c r="H5" t="str">
        <f ca="1">VLOOKUP(WEEKDAY(H1),M2:N8,2,0)</f>
        <v>Sunday</v>
      </c>
      <c r="J5">
        <v>4</v>
      </c>
      <c r="K5" t="s">
        <v>33</v>
      </c>
      <c r="M5">
        <v>5</v>
      </c>
      <c r="N5" t="s">
        <v>44</v>
      </c>
    </row>
    <row r="6" spans="1:14" x14ac:dyDescent="0.3">
      <c r="A6">
        <v>3</v>
      </c>
      <c r="B6" t="s">
        <v>8</v>
      </c>
      <c r="C6" t="s">
        <v>20</v>
      </c>
      <c r="D6">
        <v>3</v>
      </c>
      <c r="E6" t="s">
        <v>17</v>
      </c>
      <c r="J6">
        <v>5</v>
      </c>
      <c r="K6" t="s">
        <v>29</v>
      </c>
      <c r="M6">
        <v>6</v>
      </c>
      <c r="N6" t="s">
        <v>45</v>
      </c>
    </row>
    <row r="7" spans="1:14" x14ac:dyDescent="0.3">
      <c r="A7">
        <v>4</v>
      </c>
      <c r="B7" t="s">
        <v>9</v>
      </c>
      <c r="C7" t="s">
        <v>22</v>
      </c>
      <c r="D7">
        <v>4</v>
      </c>
      <c r="E7" t="s">
        <v>18</v>
      </c>
      <c r="J7">
        <v>6</v>
      </c>
      <c r="K7" t="s">
        <v>34</v>
      </c>
      <c r="M7">
        <v>7</v>
      </c>
      <c r="N7" t="s">
        <v>46</v>
      </c>
    </row>
    <row r="8" spans="1:14" x14ac:dyDescent="0.3">
      <c r="A8">
        <v>5</v>
      </c>
      <c r="B8" t="s">
        <v>10</v>
      </c>
      <c r="C8" t="s">
        <v>21</v>
      </c>
      <c r="D8">
        <v>5</v>
      </c>
      <c r="E8" t="s">
        <v>15</v>
      </c>
      <c r="J8">
        <v>7</v>
      </c>
      <c r="K8" t="s">
        <v>35</v>
      </c>
      <c r="M8">
        <v>1</v>
      </c>
      <c r="N8" t="s">
        <v>47</v>
      </c>
    </row>
    <row r="9" spans="1:14" x14ac:dyDescent="0.3">
      <c r="A9">
        <v>6</v>
      </c>
      <c r="B9" t="s">
        <v>11</v>
      </c>
      <c r="C9" t="s">
        <v>23</v>
      </c>
      <c r="D9">
        <v>6</v>
      </c>
      <c r="E9" t="s">
        <v>19</v>
      </c>
      <c r="J9">
        <v>8</v>
      </c>
      <c r="K9" t="s">
        <v>36</v>
      </c>
    </row>
    <row r="10" spans="1:14" x14ac:dyDescent="0.3">
      <c r="I10">
        <v>9</v>
      </c>
      <c r="J10" t="s">
        <v>37</v>
      </c>
    </row>
    <row r="11" spans="1:14" x14ac:dyDescent="0.3">
      <c r="I11">
        <v>10</v>
      </c>
      <c r="J11" t="s">
        <v>38</v>
      </c>
    </row>
    <row r="12" spans="1:14" x14ac:dyDescent="0.3">
      <c r="A12" t="s">
        <v>68</v>
      </c>
      <c r="C12" t="s">
        <v>50</v>
      </c>
      <c r="F12" s="9" t="s">
        <v>48</v>
      </c>
      <c r="G12" t="s">
        <v>50</v>
      </c>
      <c r="I12">
        <v>11</v>
      </c>
      <c r="J12" t="s">
        <v>39</v>
      </c>
    </row>
    <row r="13" spans="1:14" x14ac:dyDescent="0.3">
      <c r="A13" t="s">
        <v>13</v>
      </c>
      <c r="C13" s="11">
        <v>16</v>
      </c>
      <c r="D13">
        <f>GETPIVOTDATA("Name",$C$12)</f>
        <v>16</v>
      </c>
      <c r="F13" s="10" t="s">
        <v>19</v>
      </c>
      <c r="G13" s="11">
        <v>1</v>
      </c>
      <c r="I13">
        <v>12</v>
      </c>
      <c r="J13" t="s">
        <v>40</v>
      </c>
    </row>
    <row r="14" spans="1:14" x14ac:dyDescent="0.3">
      <c r="A14" t="s">
        <v>69</v>
      </c>
      <c r="F14" s="10" t="s">
        <v>17</v>
      </c>
      <c r="G14" s="11">
        <v>3</v>
      </c>
    </row>
    <row r="15" spans="1:14" x14ac:dyDescent="0.3">
      <c r="A15" t="s">
        <v>70</v>
      </c>
      <c r="F15" s="10" t="s">
        <v>18</v>
      </c>
      <c r="G15" s="11">
        <v>4</v>
      </c>
    </row>
    <row r="16" spans="1:14" x14ac:dyDescent="0.3">
      <c r="A16" t="s">
        <v>71</v>
      </c>
      <c r="F16" s="10" t="s">
        <v>16</v>
      </c>
      <c r="G16" s="11">
        <v>6</v>
      </c>
    </row>
    <row r="17" spans="1:21" x14ac:dyDescent="0.3">
      <c r="A17" t="s">
        <v>72</v>
      </c>
      <c r="F17" s="10" t="s">
        <v>15</v>
      </c>
      <c r="G17" s="11">
        <v>2</v>
      </c>
    </row>
    <row r="18" spans="1:21" x14ac:dyDescent="0.3">
      <c r="A18" t="s">
        <v>73</v>
      </c>
      <c r="F18" s="10" t="s">
        <v>49</v>
      </c>
      <c r="G18" s="11">
        <v>16</v>
      </c>
      <c r="K18" s="9" t="s">
        <v>48</v>
      </c>
      <c r="L18" t="s">
        <v>50</v>
      </c>
      <c r="O18" s="9" t="s">
        <v>57</v>
      </c>
      <c r="P18" s="9" t="s">
        <v>56</v>
      </c>
    </row>
    <row r="19" spans="1:21" x14ac:dyDescent="0.3">
      <c r="A19" t="s">
        <v>74</v>
      </c>
      <c r="K19" s="10" t="s">
        <v>52</v>
      </c>
      <c r="L19" s="11">
        <v>5</v>
      </c>
      <c r="O19" s="9" t="s">
        <v>48</v>
      </c>
      <c r="P19" t="s">
        <v>9</v>
      </c>
      <c r="Q19" t="s">
        <v>11</v>
      </c>
      <c r="R19" t="s">
        <v>8</v>
      </c>
      <c r="S19" t="s">
        <v>14</v>
      </c>
      <c r="T19" t="s">
        <v>10</v>
      </c>
      <c r="U19" t="s">
        <v>49</v>
      </c>
    </row>
    <row r="20" spans="1:21" x14ac:dyDescent="0.3">
      <c r="A20" t="s">
        <v>75</v>
      </c>
      <c r="K20" s="10" t="s">
        <v>53</v>
      </c>
      <c r="L20" s="11">
        <v>5</v>
      </c>
      <c r="O20" s="10" t="s">
        <v>52</v>
      </c>
      <c r="P20" s="11">
        <v>1</v>
      </c>
      <c r="Q20" s="11">
        <v>1</v>
      </c>
      <c r="R20" s="11">
        <v>1</v>
      </c>
      <c r="S20" s="11">
        <v>1</v>
      </c>
      <c r="T20" s="11">
        <v>1</v>
      </c>
      <c r="U20" s="11">
        <v>5</v>
      </c>
    </row>
    <row r="21" spans="1:21" x14ac:dyDescent="0.3">
      <c r="A21" t="s">
        <v>76</v>
      </c>
      <c r="K21" s="10" t="s">
        <v>54</v>
      </c>
      <c r="L21" s="11">
        <v>6</v>
      </c>
      <c r="O21" s="10" t="s">
        <v>53</v>
      </c>
      <c r="P21" s="11">
        <v>2</v>
      </c>
      <c r="Q21" s="11"/>
      <c r="R21" s="11">
        <v>1</v>
      </c>
      <c r="S21" s="11">
        <v>1</v>
      </c>
      <c r="T21" s="11">
        <v>1</v>
      </c>
      <c r="U21" s="11">
        <v>5</v>
      </c>
    </row>
    <row r="22" spans="1:21" x14ac:dyDescent="0.3">
      <c r="A22" t="s">
        <v>75</v>
      </c>
      <c r="K22" s="10" t="s">
        <v>49</v>
      </c>
      <c r="L22" s="11">
        <v>16</v>
      </c>
      <c r="O22" s="10" t="s">
        <v>54</v>
      </c>
      <c r="P22" s="11">
        <v>1</v>
      </c>
      <c r="Q22" s="11"/>
      <c r="R22" s="11">
        <v>1</v>
      </c>
      <c r="S22" s="11">
        <v>4</v>
      </c>
      <c r="T22" s="11"/>
      <c r="U22" s="11">
        <v>6</v>
      </c>
    </row>
    <row r="23" spans="1:21" x14ac:dyDescent="0.3">
      <c r="A23" t="s">
        <v>77</v>
      </c>
      <c r="O23" s="10" t="s">
        <v>49</v>
      </c>
      <c r="P23" s="11">
        <v>4</v>
      </c>
      <c r="Q23" s="11">
        <v>1</v>
      </c>
      <c r="R23" s="11">
        <v>3</v>
      </c>
      <c r="S23" s="11">
        <v>6</v>
      </c>
      <c r="T23" s="11">
        <v>2</v>
      </c>
      <c r="U23" s="11">
        <v>16</v>
      </c>
    </row>
    <row r="26" spans="1:21" x14ac:dyDescent="0.3">
      <c r="F26" s="9" t="s">
        <v>48</v>
      </c>
      <c r="G26" t="s">
        <v>50</v>
      </c>
      <c r="R26" s="9"/>
      <c r="S26" s="9"/>
      <c r="T26" s="9"/>
      <c r="U26" s="9"/>
    </row>
    <row r="27" spans="1:21" x14ac:dyDescent="0.3">
      <c r="F27" s="10" t="s">
        <v>9</v>
      </c>
      <c r="G27" s="11">
        <v>4</v>
      </c>
    </row>
    <row r="28" spans="1:21" x14ac:dyDescent="0.3">
      <c r="F28" s="10" t="s">
        <v>11</v>
      </c>
      <c r="G28" s="11">
        <v>1</v>
      </c>
    </row>
    <row r="29" spans="1:21" x14ac:dyDescent="0.3">
      <c r="F29" s="10" t="s">
        <v>8</v>
      </c>
      <c r="G29" s="11">
        <v>3</v>
      </c>
    </row>
    <row r="30" spans="1:21" x14ac:dyDescent="0.3">
      <c r="F30" s="10" t="s">
        <v>14</v>
      </c>
      <c r="G30" s="11">
        <v>6</v>
      </c>
    </row>
    <row r="31" spans="1:21" x14ac:dyDescent="0.3">
      <c r="F31" s="10" t="s">
        <v>10</v>
      </c>
      <c r="G31" s="11">
        <v>2</v>
      </c>
    </row>
    <row r="32" spans="1:21" x14ac:dyDescent="0.3">
      <c r="F32" s="10" t="s">
        <v>49</v>
      </c>
      <c r="G32" s="11">
        <v>16</v>
      </c>
    </row>
  </sheetData>
  <phoneticPr fontId="6" type="noConversion"/>
  <pageMargins left="0.7" right="0.7" top="0.75" bottom="0.75" header="0.3" footer="0.3"/>
  <pageSetup orientation="portrait" horizontalDpi="4294967293" verticalDpi="0"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Information</vt:lpstr>
      <vt:lpstr>Support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Rafaela Polanski</dc:creator>
  <cp:lastModifiedBy>Rafaela Polanski</cp:lastModifiedBy>
  <dcterms:created xsi:type="dcterms:W3CDTF">2019-07-20T15:39:37Z</dcterms:created>
  <dcterms:modified xsi:type="dcterms:W3CDTF">2019-07-22T01:30:47Z</dcterms:modified>
</cp:coreProperties>
</file>